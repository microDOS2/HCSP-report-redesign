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gister" sheetId="1" state="visible" r:id="rId2"/>
    <sheet name="Top 15" sheetId="2" state="visible" r:id="rId3"/>
    <sheet name="Dashboard" sheetId="3" state="visible" r:id="rId4"/>
    <sheet name="Legend" sheetId="4" state="visible" r:id="rId5"/>
  </sheets>
  <definedNames>
    <definedName function="false" hidden="true" localSheetId="0" name="_xlnm._FilterDatabase" vbProcedure="false">Register!$A$1:$N$81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<sst xmlns="http://schemas.openxmlformats.org/spreadsheetml/2006/main" count="1281" uniqueCount="805">
  <si>
    <t xml:space="preserve">ID</t>
  </si>
  <si>
    <t xml:space="preserve">Program name</t>
  </si>
  <si>
    <t xml:space="preserve">Level</t>
  </si>
  <si>
    <t xml:space="preserve">Agency/Funder</t>
  </si>
  <si>
    <t xml:space="preserve">Type</t>
  </si>
  <si>
    <t xml:space="preserve">Award size (text range)</t>
  </si>
  <si>
    <t xml:space="preserve">Direct company access</t>
  </si>
  <si>
    <t xml:space="preserve">HCSP output fit</t>
  </si>
  <si>
    <t xml:space="preserve">Vertical fit</t>
  </si>
  <si>
    <t xml:space="preserve">2026 Status</t>
  </si>
  <si>
    <t xml:space="preserve">Next deadline/cycle</t>
  </si>
  <si>
    <t xml:space="preserve">Match score (1-5)</t>
  </si>
  <si>
    <t xml:space="preserve">Notes/conditions</t>
  </si>
  <si>
    <t xml:space="preserve">Source URL</t>
  </si>
  <si>
    <t xml:space="preserve">G-001</t>
  </si>
  <si>
    <t xml:space="preserve">Clean Water SRF (CWSRF) incl. IIJA Emerging Contaminants supplement</t>
  </si>
  <si>
    <t xml:space="preserve">Federal</t>
  </si>
  <si>
    <t xml:space="preserve">EPA Office of Water -&gt; state SRF programs</t>
  </si>
  <si>
    <t xml:space="preserve">Sub-grant via partner</t>
  </si>
  <si>
    <t xml:space="preserve">State-set; FY26 ~$746M state allotments + $2.6B IIJA + $225M EC tranche (final IIJA year)</t>
  </si>
  <si>
    <t xml:space="preserve">No—via utility partner</t>
  </si>
  <si>
    <t xml:space="preserve">Water; Power; PFAS destruction</t>
  </si>
  <si>
    <t xml:space="preserve">Municipal biosolids; PFAS concentrate; wastewater reuse</t>
  </si>
  <si>
    <t xml:space="preserve">ACTIVE</t>
  </si>
  <si>
    <t xml:space="preserve">Rolling; annual state IUPs (summer-fall)</t>
  </si>
  <si>
    <t xml:space="preserve">FY2026 is the final IIJA/BIL supplemental year (incl. $225M CWSRF emerging-contaminants tranche); FY27 House proposal ~16% cut; WRDA 2026 would add emerging-contaminants eligibility. Access via POTW/utility partner on state IUP.</t>
  </si>
  <si>
    <t xml:space="preserve">https://www.epa.gov/cwsrf</t>
  </si>
  <si>
    <t xml:space="preserve">G-002</t>
  </si>
  <si>
    <t xml:space="preserve">Drinking Water SRF (DWSRF) incl. $4B PFAS/emerging-contaminants funds</t>
  </si>
  <si>
    <t xml:space="preserve">FY26 ~$411M state allotments + ~$3.4B IIJA; $4B PFAS/EC over 5 yrs</t>
  </si>
  <si>
    <t xml:space="preserve">Water; PFAS destruction</t>
  </si>
  <si>
    <t xml:space="preserve">Drinking-water PFAS compliance; small/disadvantaged systems</t>
  </si>
  <si>
    <t xml:space="preserve">Rolling; annual state IUPs</t>
  </si>
  <si>
    <t xml:space="preserve">$4B of DWSRF dedicated to PFAS/emerging contaminants; destruction slots in as residuals management of BAT (GAC/IX/RO) concentrate streams; WRDA 2026 would add explicit PFAS eligibility to DWSRF.</t>
  </si>
  <si>
    <t xml:space="preserve">https://www.epa.gov/dwsrf</t>
  </si>
  <si>
    <t xml:space="preserve">G-003</t>
  </si>
  <si>
    <t xml:space="preserve">Emerging Contaminants in Small or Disadvantaged Communities (EC-SDC) grants</t>
  </si>
  <si>
    <t xml:space="preserve">EPA -&gt; states/territories</t>
  </si>
  <si>
    <t xml:space="preserve">$5B FY2022-26 total; final $1B announced May 2026</t>
  </si>
  <si>
    <t xml:space="preserve">PFAS destruction; Water</t>
  </si>
  <si>
    <t xml:space="preserve">Small/disadvantaged community water systems</t>
  </si>
  <si>
    <t xml:space="preserve">State-driven; final BIL allotment year 2026</t>
  </si>
  <si>
    <t xml:space="preserve">Final $1B year announced May 19 2026 (CA $77.3M, NY $40.5M, NJ $33.6M, AZ $20M); EPA framed the round as supporting innovation in destruction and disposal technologies; company participates as vendor to the water system.</t>
  </si>
  <si>
    <t xml:space="preserve">https://www.epa.gov/dwcapacity</t>
  </si>
  <si>
    <t xml:space="preserve">G-004</t>
  </si>
  <si>
    <t xml:space="preserve">WIFIA (Water Infrastructure Finance and Innovation Act) + SWIFIA</t>
  </si>
  <si>
    <t xml:space="preserve">EPA</t>
  </si>
  <si>
    <t xml:space="preserve">Loan</t>
  </si>
  <si>
    <t xml:space="preserve">Loans up to 49% of project costs; $20M min project ($5M small communities); ~$11B credit capacity available</t>
  </si>
  <si>
    <t xml:space="preserve">Yes</t>
  </si>
  <si>
    <t xml:space="preserve">Water reuse; desalination; biosolids-to-energy; alternative supply</t>
  </si>
  <si>
    <t xml:space="preserve">Rolling Letters of Interest, year-round</t>
  </si>
  <si>
    <t xml:space="preserve">Direct private access unusually broad (corporations, JVs, trusts) but private projects need public sponsorship; FY26-27 small-community fee waivers ($25K application + ~$156K credit-processing); statutory authorization expires after FY2026 - WRDA 2026 would extend.</t>
  </si>
  <si>
    <t xml:space="preserve">https://www.epa.gov/wifia</t>
  </si>
  <si>
    <t xml:space="preserve">G-005</t>
  </si>
  <si>
    <t xml:space="preserve">WaterSMART Title XVI Water Reclamation &amp; Reuse (R26AS00079)</t>
  </si>
  <si>
    <t xml:space="preserve">Bureau of Reclamation</t>
  </si>
  <si>
    <t xml:space="preserve">Grant</t>
  </si>
  <si>
    <t xml:space="preserve">Ceiling $40M; 25% federal cost share; FY26 competitive pot cut to ~$10M</t>
  </si>
  <si>
    <t xml:space="preserve">Water</t>
  </si>
  <si>
    <t xml:space="preserve">Western water reuse / recycled water</t>
  </si>
  <si>
    <t xml:space="preserve">Deadlines Aug 26 2026 and Aug 26 2027</t>
  </si>
  <si>
    <t xml:space="preserve">17 Western states only; applicant must have water or power delivery authority - company partners as technology provider; FY26 appropriations cut 58%, but ~$200M Colorado River Basin reuse investments announced (e.g. $179M Phoenix).</t>
  </si>
  <si>
    <t xml:space="preserve">https://www.usbr.gov/watersmart/title/titlexvi.html</t>
  </si>
  <si>
    <t xml:space="preserve">G-006</t>
  </si>
  <si>
    <t xml:space="preserve">WaterSMART Desalination Construction Projects (R26AS00034)</t>
  </si>
  <si>
    <t xml:space="preserve">Up to $120M per project</t>
  </si>
  <si>
    <t xml:space="preserve">Water; Power</t>
  </si>
  <si>
    <t xml:space="preserve">Desalination; brine/ZLD; alternative supply</t>
  </si>
  <si>
    <t xml:space="preserve">Due Aug 26 2026 / Aug 26 2027</t>
  </si>
  <si>
    <t xml:space="preserve">Western states; partner with an eligible water authority; HCSP distilled-water output and energy co-production fit the desalination/purification framing.</t>
  </si>
  <si>
    <t xml:space="preserve">https://www.usbr.gov/watersmart/</t>
  </si>
  <si>
    <t xml:space="preserve">G-007</t>
  </si>
  <si>
    <t xml:space="preserve">WaterSMART Large-Scale Water Recycling Projects (R25AS00322)</t>
  </si>
  <si>
    <t xml:space="preserve">25% federal share; projects &gt;=$500M total cost</t>
  </si>
  <si>
    <t xml:space="preserve">Municipal-scale water recycling</t>
  </si>
  <si>
    <t xml:space="preserve">WATCH</t>
  </si>
  <si>
    <t xml:space="preserve">FY26 deadline May 13 2026 (closed); watch FY27 NOFO</t>
  </si>
  <si>
    <t xml:space="preserve">Only for very large projects; track the FY27 cycle with a major Western utility partner.</t>
  </si>
  <si>
    <t xml:space="preserve">G-008</t>
  </si>
  <si>
    <t xml:space="preserve">WaterSMART small grants (WEEG, SWEP, Drought Resiliency, Applied Science, Enhancing Water Resources)</t>
  </si>
  <si>
    <t xml:space="preserve">$100K-$5M tiers; 25-50% cost share; $38.9M WEEG awarded to 31 projects in 2026</t>
  </si>
  <si>
    <t xml:space="preserve">Water/energy efficiency at utilities</t>
  </si>
  <si>
    <t xml:space="preserve">Enhancing Water Resources due Sep 9 2026; others re-offer periodically</t>
  </si>
  <si>
    <t xml:space="preserve">WEEG up to $5M (50% cost share); several FY26 deadlines passed; marginal SCWO fit except via efficiency framing; nonprofits may co-apply with a Category A entity.</t>
  </si>
  <si>
    <t xml:space="preserve">G-009</t>
  </si>
  <si>
    <t xml:space="preserve">Desalination &amp; Water Purification Research (DWPR) NOFO</t>
  </si>
  <si>
    <t xml:space="preserve">Bureau of Reclamation R&amp;D Office</t>
  </si>
  <si>
    <t xml:space="preserve">Lab-scale up to $300K federal; pilot-scale up to $800K federal; $5.7M total FY26</t>
  </si>
  <si>
    <t xml:space="preserve">Produced water; municipal wastewater; impaired waters</t>
  </si>
  <si>
    <t xml:space="preserve">OPEN-DEADLINE</t>
  </si>
  <si>
    <t xml:space="preserve">Due 4:00 p.m. MT September 29 2026 (posted Jul 29 2026)</t>
  </si>
  <si>
    <t xml:space="preserve">Best near-term direct-apply federal grant: for-profit firms eligible directly; produced water and municipal wastewater are named eligible source waters; ~75% non-federal cost share for pilots; also watch companion Pitch-to-Pilot NOFO (last issued FY2024).</t>
  </si>
  <si>
    <t xml:space="preserve">https://www.usbr.gov/research/dwpr/index.html</t>
  </si>
  <si>
    <t xml:space="preserve">G-010</t>
  </si>
  <si>
    <t xml:space="preserve">EPA SBIR (Phase I/II contracts)</t>
  </si>
  <si>
    <t xml:space="preserve">Phase I ~$100K/6 mo; Phase II up to $400K + $100K commercialization option</t>
  </si>
  <si>
    <t xml:space="preserve">PFAS in sludge/biosolids; water reuse; concentrate destruction</t>
  </si>
  <si>
    <t xml:space="preserve">No Phase I open as of Sept 2026; annual cadence historically Jun-Aug; Phase II (68HERC25R0203) closed Jul 14 2026</t>
  </si>
  <si>
    <t xml:space="preserve">Reauthorized Apr 13 2026 (S. 3971) through Sept 30 2031 after 6.5-month lapse; recurring water topics include PFAS destruction in wastewater sludge/biosolids; join EPA SBIR listserv and pre-position proposal.</t>
  </si>
  <si>
    <t xml:space="preserve">https://www.epa.gov/sbir</t>
  </si>
  <si>
    <t xml:space="preserve">G-011</t>
  </si>
  <si>
    <t xml:space="preserve">EPA Office of Water competitive grant programs (OSG stormwater reuse; Midsize/Large DW Resilience; Wastewater Efficiency waste-to-energy; Alternative Water Source pilot)</t>
  </si>
  <si>
    <t xml:space="preserve">EPA Office of Water</t>
  </si>
  <si>
    <t xml:space="preserve">OSG ~$280M/yr authorized; DW resilience first round $9.5M; Wastewater Efficiency &lt;=$4M/recipient; Alternative Water Source $2M FY26 start-up</t>
  </si>
  <si>
    <t xml:space="preserve">Stormwater/water reuse; POTW biosolids-to-energy; alternative supply</t>
  </si>
  <si>
    <t xml:space="preserve">Periodic NOFOs; Wastewater Efficiency authorization lapses after FY26 (watch WRDA 2026); Alternative Water Source first solicitation anticipated</t>
  </si>
  <si>
    <t xml:space="preserve">Municipalities/POTWs/water authorities only - company as technology vendor; Wastewater Efficiency Grant Pilot (DWWIA 50202) fits biosolids-to-power but is minimally funded; Alternative Water Source (DWWIA 50203) received first-ever $2M FY26 appropriation.</t>
  </si>
  <si>
    <t xml:space="preserve">https://www.epa.gov/cwsrf/sewer-overflow-and-stormwater-reuse-municipal-grants-program</t>
  </si>
  <si>
    <t xml:space="preserve">G-012</t>
  </si>
  <si>
    <t xml:space="preserve">EPA STAR / National Priorities research grants</t>
  </si>
  <si>
    <t xml:space="preserve">EPA ORD</t>
  </si>
  <si>
    <t xml:space="preserve">Typically $500K-$1.5M to academic primes</t>
  </si>
  <si>
    <t xml:space="preserve">No—via other partner</t>
  </si>
  <si>
    <t xml:space="preserve">PFAS in landfills/leachates; biosolids; water reuse research</t>
  </si>
  <si>
    <t xml:space="preserve">No open RFAs as of Aug 2026; RFAs intermittent</t>
  </si>
  <si>
    <t xml:space="preserve">For-profits not eligible as prime; participate as subcontractor on university-led proposals; closed RFAs (PFAS destruction in landfills/leachates, biosolids, reuse) indicate recurring topics.</t>
  </si>
  <si>
    <t xml:space="preserve">https://www.epa.gov/research-grants</t>
  </si>
  <si>
    <t xml:space="preserve">G-013</t>
  </si>
  <si>
    <t xml:space="preserve">EPA Environmental Justice grant programs (Community Change, Thriving Communities, EJCPS, EJG2G, EJ Small Grants)</t>
  </si>
  <si>
    <t xml:space="preserve">~$2.2B+ previously committed</t>
  </si>
  <si>
    <t xml:space="preserve">No</t>
  </si>
  <si>
    <t xml:space="preserve">-</t>
  </si>
  <si>
    <t xml:space="preserve">DEAD</t>
  </si>
  <si>
    <t xml:space="preserve">Terminated 2025; unobligated IRA funds rescinded by OBBBA; litigation ongoing</t>
  </si>
  <si>
    <t xml:space="preserve">781 grants terminated; EJ offices closed; June 2025 court ruling against terminations under appeal; wrong applicant type regardless (community nonprofits). Do not pursue.</t>
  </si>
  <si>
    <t xml:space="preserve">https://grantedai.com/blog/epa-environmental-justice-grants-2026-what-nonprofits-need-to-know</t>
  </si>
  <si>
    <t xml:space="preserve">G-014</t>
  </si>
  <si>
    <t xml:space="preserve">EPA technical-assistance initiatives (PFAS OUTreach, RealWaterTA, SWIFT)</t>
  </si>
  <si>
    <t xml:space="preserve">Technical assistance only (non-monetary)</t>
  </si>
  <si>
    <t xml:space="preserve">Small/rural water systems; utility resilience</t>
  </si>
  <si>
    <t xml:space="preserve">Ongoing 2026 engagements</t>
  </si>
  <si>
    <t xml:space="preserve">Not grant programs - market channels: PFAS OUT (launched Apr 14 2026) drives PFOA/PFOS MCL compliance demand; EPA PFAS destruction technology event (May 2026) is a direct demand signal for destruction tech; engage as technology vendor.</t>
  </si>
  <si>
    <t xml:space="preserve">https://www.epa.gov/aboutepa/epa-racking-massive-environmental-accomplishments-under-trump-administration</t>
  </si>
  <si>
    <t xml:space="preserve">G-015</t>
  </si>
  <si>
    <t xml:space="preserve">DOE CMEI applied offices: Alternative Fuels &amp; Feedstocks (ex-BETO) and Hydropower &amp; Hydrokinetic (ex-WPTO)</t>
  </si>
  <si>
    <t xml:space="preserve">DOE CMEI (AFFO / H2O)</t>
  </si>
  <si>
    <t xml:space="preserve">AFFO historically $500K-$2M+ per award (FY26 $245M); H2O FY26 $220M</t>
  </si>
  <si>
    <t xml:space="preserve">Power</t>
  </si>
  <si>
    <t xml:space="preserve">Wet wastes (sludge, manure, food waste) to energy/fuels</t>
  </si>
  <si>
    <t xml:space="preserve">No open AFFO NOFO as of Jul 2 2026; NOFO-driven; monitor CMEI eXCHANGE</t>
  </si>
  <si>
    <t xml:space="preserve">AFFO funded but quiet ('no current open bioenergy funding opportunities'); emphasis shifted to fuels/SAF - good fit if a wet-waste NOFO opens. H2O scoped to hydro/marine energy: poor fit. Companion Waste-to-Energy TA targets governments (pull-through route).</t>
  </si>
  <si>
    <t xml:space="preserve">https://www.energy.gov/cmei/fuels/bioenergy-technologies-funding-opportunities</t>
  </si>
  <si>
    <t xml:space="preserve">G-016</t>
  </si>
  <si>
    <t xml:space="preserve">DOE Industrial Efficiency &amp; Decarbonization Office (IEDO) NOFOs / Onsite Energy TAPs / prizes</t>
  </si>
  <si>
    <t xml:space="preserve">DOE CMEI - IEDO</t>
  </si>
  <si>
    <t xml:space="preserve">TAP awards $900K-$8M; FOAs to $100M+ total; FY26 $390M adv. manufacturing/industrial lines</t>
  </si>
  <si>
    <t xml:space="preserve">Power; PFAS destruction</t>
  </si>
  <si>
    <t xml:space="preserve">Industrial wastewater at food/beverage, chemical, dairy plants</t>
  </si>
  <si>
    <t xml:space="preserve">No large open NOFO confirmed as of Aug 2026; monitor eXCHANGE</t>
  </si>
  <si>
    <t xml:space="preserve">Frame HCSP as decarbonizing wastewater treatment with onsite power at industrial hosts; cost share typically 20-50% for demos; IEDO remains an active DOE SBIR topic owner (C60-09).</t>
  </si>
  <si>
    <t xml:space="preserve">https://www.energy.gov/eere/iedo</t>
  </si>
  <si>
    <t xml:space="preserve">G-017</t>
  </si>
  <si>
    <t xml:space="preserve">DOE OCED clean energy demonstrations (incl. ERA rural/remote energy, $1B)</t>
  </si>
  <si>
    <t xml:space="preserve">DOE OCED</t>
  </si>
  <si>
    <t xml:space="preserve">$10M-$100M+ demonstration awards</t>
  </si>
  <si>
    <t xml:space="preserve">Rural distributed energy; industrial demonstrations</t>
  </si>
  <si>
    <t xml:space="preserve">Office abolished Nov 2025; awards terminated/under portfolio review</t>
  </si>
  <si>
    <t xml:space="preserve">24 awards ($3.7B) terminated May 2025 plus ~$7.56B more Oct 2025; OBBBA rescinded unobligated balances; FY26 budget request $0; ERA no longer available (GAO-26-107997). Do not build a plan around revival.</t>
  </si>
  <si>
    <t xml:space="preserve">https://files.gao.gov/reports/GAO-26-107997/index.html</t>
  </si>
  <si>
    <t xml:space="preserve">G-018</t>
  </si>
  <si>
    <t xml:space="preserve">DOE SBIR/STTR (Office of Technology Commercialization)</t>
  </si>
  <si>
    <t xml:space="preserve">DOE OTC</t>
  </si>
  <si>
    <t xml:space="preserve">Phase I &lt;=$323K; Phase II &lt;=$2.15M; Strategic Breakthrough Awards up to $30M</t>
  </si>
  <si>
    <t xml:space="preserve">Waste-conversion subtopics (historically IEDO/bioenergy)</t>
  </si>
  <si>
    <t xml:space="preserve">FY26 Genesis Mission pitches due Sep 10 2026 (AI-centric topics); regular applied-office releases expected to normalize FY27</t>
  </si>
  <si>
    <t xml:space="preserve">Reauthorized through 2031; SCWO/hydrothermal firms funded historically via EERE/IEDO topics; LOI mandatory before full application; new foreign-risk screening and per-firm proposal caps.</t>
  </si>
  <si>
    <t xml:space="preserve">https://www.energy.gov/technologycommercialization/doe-small-business-innovation-research-sbir-and-small-business</t>
  </si>
  <si>
    <t xml:space="preserve">G-019</t>
  </si>
  <si>
    <t xml:space="preserve">ARPA-E programs (RECOVER successors, SCALEUP Ready, IGNIITE 2026)</t>
  </si>
  <si>
    <t xml:space="preserve">DOE ARPA-E</t>
  </si>
  <si>
    <t xml:space="preserve">Typically $1M-$10M; IGNIITE up to $500K (+$250K Director's Award); cost share 5-20%</t>
  </si>
  <si>
    <t xml:space="preserve">Power; Water</t>
  </si>
  <si>
    <t xml:space="preserve">Energy/resource recovery from wastewater; produced water</t>
  </si>
  <si>
    <t xml:space="preserve">Rolling NOFOs on eXCHANGE; IGNIITE full applications closed Aug 26 2026</t>
  </si>
  <si>
    <t xml:space="preserve">RECOVER ($36M awarded; full apps closed Aug 2025) targeted ammonia/critical-metals recovery from municipal/feedlot/produced/mining waters - watch for successor NOFOs; SCALEUP Ready (DE-FOA-0003467, rolling) only after an ARPA-E award.</t>
  </si>
  <si>
    <t xml:space="preserve">https://arpa-e-foa.energy.gov/</t>
  </si>
  <si>
    <t xml:space="preserve">G-020</t>
  </si>
  <si>
    <t xml:space="preserve">DOE Title 17 Energy Financing (Office of Energy Dominance Financing, incl. EDFP / ex-1706 EIR)</t>
  </si>
  <si>
    <t xml:space="preserve">DOE EDF (ex-LPO)</t>
  </si>
  <si>
    <t xml:space="preserve">Loan guarantee</t>
  </si>
  <si>
    <t xml:space="preserve">Loan guarantees ~$100M into the $Bs; $1B new EDFP credit subsidy</t>
  </si>
  <si>
    <t xml:space="preserve">First-of-a-kind commercial plant exporting power</t>
  </si>
  <si>
    <t xml:space="preserve">Rolling applications (Program Guidance issued May 13 2026); EDFP conditional-commitment authority to Sep 30 2028</t>
  </si>
  <si>
    <t xml:space="preserve">Realistic only at &gt;=$50-100M capex given diligence costs; GHG-reduction requirement removed by OBBBA; waste-to-power adding firm capacity can fit 'output increase / grid reliability' categories; SEFI co-support lowers thresholds; borrower-paid subsidy possible but expensive.</t>
  </si>
  <si>
    <t xml:space="preserve">https://www.energy.gov/documents/doe-edf-title-17-energy-financing-program-guidance-2026-05-13</t>
  </si>
  <si>
    <t xml:space="preserve">G-021</t>
  </si>
  <si>
    <t xml:space="preserve">USDA REAP grants (Rural Energy for America Program RES/EEI)</t>
  </si>
  <si>
    <t xml:space="preserve">USDA RD - Rural Business-Cooperative Service</t>
  </si>
  <si>
    <t xml:space="preserve">Historically up to 25-50% of project cost; ~$1M grant ceiling (RES)</t>
  </si>
  <si>
    <t xml:space="preserve">CAFO/dairy manure wastewater; rural industrial hosts</t>
  </si>
  <si>
    <t xml:space="preserve">PAUSED</t>
  </si>
  <si>
    <t xml:space="preserve">No FY26 grant NOFO; rule rewrite (7 CFR 4280 Subpart B) under EO 14315; Oct 2024 notice to be rescinded - applicants must reapply</t>
  </si>
  <si>
    <t xml:space="preserve">Rural host (ag producer &gt;=50% ag income, or rural small business) applies with HCSP as vendor; grants paused per USDA Mar 31 2026 announcement; high fit when reopened.</t>
  </si>
  <si>
    <t xml:space="preserve">https://www.rd.usda.gov/programs-services/energy-programs/rural-energy-america-program-renewable-energy-systems-energy-efficiency-improvement-guaranteed-loans</t>
  </si>
  <si>
    <t xml:space="preserve">G-022</t>
  </si>
  <si>
    <t xml:space="preserve">USDA REAP guaranteed loans</t>
  </si>
  <si>
    <t xml:space="preserve">Up to 75% of eligible project cost; guarantee max $25M (farm-bill draft would raise to $50M)</t>
  </si>
  <si>
    <t xml:space="preserve">Rural waste-to-energy deployments</t>
  </si>
  <si>
    <t xml:space="preserve">Rolling, year-round via OneRD framework</t>
  </si>
  <si>
    <t xml:space="preserve">OPEN now; biodigester/CEA carve-out paused through Dec 31 2026, but SCWO is not an anaerobic biodigester under USDA's own definition - get written confirmation from the state energy coordinator early.</t>
  </si>
  <si>
    <t xml:space="preserve">G-023</t>
  </si>
  <si>
    <t xml:space="preserve">USDA RUS Water &amp; Waste Disposal Loan &amp; Grant Program</t>
  </si>
  <si>
    <t xml:space="preserve">USDA Rural Utilities Service</t>
  </si>
  <si>
    <t xml:space="preserve">40-yr low-interest loans; grants up to ~75% of cost for lowest-income communities; guarantee variant to 50,000 pop.</t>
  </si>
  <si>
    <t xml:space="preserve">Rural (&lt;=10,000 pop.) wastewater/septage destruction</t>
  </si>
  <si>
    <t xml:space="preserve">Rolling, year-round (Oct 1 - Sep 30) via RD Apply</t>
  </si>
  <si>
    <t xml:space="preserve">Public bodies, nonprofits, Tribes only; HCSP as technology partner to the rural community applicant; companion Predevelopment Planning / SEARCH grants can fund the host's front-end engineering. Base Farm Bill authority, untouched by 2025-26 cuts.</t>
  </si>
  <si>
    <t xml:space="preserve">https://www.rd.usda.gov/programs-services/water-environmental-programs</t>
  </si>
  <si>
    <t xml:space="preserve">G-024</t>
  </si>
  <si>
    <t xml:space="preserve">USDA Business &amp; Industry (B&amp;I) Guaranteed Loans</t>
  </si>
  <si>
    <t xml:space="preserve">Guarantee raised to 85% for loans &lt;$5M (all FY26 obligations); larger loans at lower percentages</t>
  </si>
  <si>
    <t xml:space="preserve">Rural manufacturing/assembly facility; demonstration plant</t>
  </si>
  <si>
    <t xml:space="preserve">Rolling, year-round</t>
  </si>
  <si>
    <t xml:space="preserve">Direct private access for rural (&lt;50,000 pop.) projects; Feb 12 2026 RBCS guidance gives priority points to energy security / domestic manufacturing; biodigester/CEA pause applies across RBCS through Dec 31 2026 (SCWO not covered - confirm in writing).</t>
  </si>
  <si>
    <t xml:space="preserve">https://www.rd.usda.gov/programs-services/business-programs/business-industry-loan-guarantees</t>
  </si>
  <si>
    <t xml:space="preserve">G-025</t>
  </si>
  <si>
    <t xml:space="preserve">Federal clean energy tax credits: 45Y PTC / 48E ITC / 45Z clean fuel (48C closed)</t>
  </si>
  <si>
    <t xml:space="preserve">IRS / Treasury</t>
  </si>
  <si>
    <t xml:space="preserve">45Y 1.5c/kWh with PWA; 48E 30% ITC; 45Z up to $1.00/gal+ (manure feedstocks may claim negative emissions)</t>
  </si>
  <si>
    <t xml:space="preserve">Waste-heat-to-power (WERP); biogas C&amp;G; fuel co-products</t>
  </si>
  <si>
    <t xml:space="preserve">45Y/48E in force for non-wind/solar (phaseout from 2032); 45Z fuels sold 2025-2029; 48C fully allocated - closed</t>
  </si>
  <si>
    <t xml:space="preserve">Tax credits, not grants. SCWO eligibility uncertain: WERP (waste-heat-to-power at host industrial sites) is the most defensible route; combustion/gasification alternative-fate methane case untested - engage tax counsel before marketing credit monetization; 45Z only if a transportation-fuel co-product; 48C capped at $10B by OBBBA, no Round 3 expected.</t>
  </si>
  <si>
    <t xml:space="preserve">https://www.irs.gov/newsroom</t>
  </si>
  <si>
    <t xml:space="preserve">G-026</t>
  </si>
  <si>
    <t xml:space="preserve">DOE State Energy Program (SEP) via state energy offices</t>
  </si>
  <si>
    <t xml:space="preserve">DOE SCEP -&gt; states</t>
  </si>
  <si>
    <t xml:space="preserve">FY26 enacted $66M formula (Congress restored vs. $0 request); residual $500M BIL infusion in state pipelines</t>
  </si>
  <si>
    <t xml:space="preserve">State industrial decarbonization / rural energy sub-programs</t>
  </si>
  <si>
    <t xml:space="preserve">State-defined programs and cycles</t>
  </si>
  <si>
    <t xml:space="preserve">Indirect: states run demo grants, revolving loans, TA with SEP funds; SEP can support SEFI co-financing that unlocks Title 17 SEFI-supported project eligibility; target states with active industrial decarb or rural energy revolving funds.</t>
  </si>
  <si>
    <t xml:space="preserve">https://www.energy.gov/scep/state-energy-program</t>
  </si>
  <si>
    <t xml:space="preserve">G-027</t>
  </si>
  <si>
    <t xml:space="preserve">SERDP Core BAA (Strategic Environmental Research and Development Program)</t>
  </si>
  <si>
    <t xml:space="preserve">OUSD(R&amp;E) / SERDP-ESTCP program office</t>
  </si>
  <si>
    <t xml:space="preserve">~$1M-$3M over 3-4 yrs (core); SEED exploratory &lt;=$250K/1 yr</t>
  </si>
  <si>
    <t xml:space="preserve">PFAS destruction; Water; Power</t>
  </si>
  <si>
    <t xml:space="preserve">PFAS/AFFF destruction; installation energy &amp; water</t>
  </si>
  <si>
    <t xml:space="preserve">FY28 solicitation expected ~Oct-Nov 2026 (FY27 pre-proposals closed Jan 13 2026)</t>
  </si>
  <si>
    <t xml:space="preserve">All sectors eligible via annual BAA; direct SCWO precedents (ER20-5350, ER22-3384, ER22-7338); FY27 SONs had no PFAS destruction topic - target FY28 Environmental Restoration SON; FY27 budget $60.8M.</t>
  </si>
  <si>
    <t xml:space="preserve">https://www.serdp-estcp.org/work-with-us</t>
  </si>
  <si>
    <t xml:space="preserve">G-028</t>
  </si>
  <si>
    <t xml:space="preserve">ESTCP demonstration/validation (Installation Energy &amp; Water; Environmental Restoration)</t>
  </si>
  <si>
    <t xml:space="preserve">ODASD (Energy Resilience &amp; Optimization)</t>
  </si>
  <si>
    <t xml:space="preserve">~$0.5M-$3M+ per demonstration (~3 yrs)</t>
  </si>
  <si>
    <t xml:space="preserve">DoD installation water resilience; AFFF/PFAS demos; energy resilience</t>
  </si>
  <si>
    <t xml:space="preserve">FY28 solicitations expected ~Dec 2026-Jan 2027, pre-proposals ~Mar 2027 (FY27 in selection Sept 2026)</t>
  </si>
  <si>
    <t xml:space="preserve">Best overall near-term defense target: TRL 5-7 demos at DoD sites - exactly HCSP's maturation stage; SCWO precedent ER23-7939 (foam fractionation + SCWO); FY27 topics included Water Resilience and Energy Resilience; FY27 budget $125.1M; Oct 2026 AFFF transition deadline drives FY28 demand.</t>
  </si>
  <si>
    <t xml:space="preserve">https://www.serdp-estcp.org/Funding-Opportunities/ESTCP-Solicitations</t>
  </si>
  <si>
    <t xml:space="preserve">G-029</t>
  </si>
  <si>
    <t xml:space="preserve">DIU Commercial Solutions Opening (prototype Other Transaction)</t>
  </si>
  <si>
    <t xml:space="preserve">Defense Innovation Unit</t>
  </si>
  <si>
    <t xml:space="preserve">~$500K-$5M negotiated prototypes; follow-on production sole-source (4022(f))</t>
  </si>
  <si>
    <t xml:space="preserve">Power; Water; Cooling</t>
  </si>
  <si>
    <t xml:space="preserve">Distributed energy resilience; logistics-burden water production</t>
  </si>
  <si>
    <t xml:space="preserve">Rolling Areas of Interest; none open mid-2026 - register on DIU portal and monitor weekly</t>
  </si>
  <si>
    <t xml:space="preserve">Fastest defense path (award ~60-120 days) but requires a mature commercial solution; energy precedents HyTEC, PRISM, ANPI, Finance First; 10 USC 4022 OT authority; no small-business status required.</t>
  </si>
  <si>
    <t xml:space="preserve">https://www.diu.mil/work-with-us</t>
  </si>
  <si>
    <t xml:space="preserve">G-030</t>
  </si>
  <si>
    <t xml:space="preserve">DoW SBIR/STTR FY27 releases (all components via DSIP; incl. Army Applied SBIR)</t>
  </si>
  <si>
    <t xml:space="preserve">DoW (defensesolutions.gov) / Army Futures Command</t>
  </si>
  <si>
    <t xml:space="preserve">Phase I ~$250K (Navy up to $315K); Phase II $1.7M-$2.0M; Phase III uncapped (non-SBIR funds)</t>
  </si>
  <si>
    <t xml:space="preserve">Expeditionary water; PFAS; contested logistics; microgrids</t>
  </si>
  <si>
    <t xml:space="preserve">FY27 Release 1 pre-release expected ~Oct 2026; quarterly closes (FY26 R4 closed Aug 19 2026); Army runs 3 windows/FY</t>
  </si>
  <si>
    <t xml:space="preserve">Reauthorized Apr 13 2026; monthly pre-release / quarterly close cadence; watch NAVFAC/Army water &amp; PFAS topics; Army Contested Logistics &amp; Advanced Energy Generation interest areas fit expeditionary water/waste-to-energy; per-firm submission caps and foreign-risk screening apply.</t>
  </si>
  <si>
    <t xml:space="preserve">https://www.defensesolutions.gov/</t>
  </si>
  <si>
    <t xml:space="preserve">G-031</t>
  </si>
  <si>
    <t xml:space="preserve">Navy SBIR topic lineage N254-123 (expeditionary greywater reuse) / N233-117 (PFAS defluorination)</t>
  </si>
  <si>
    <t xml:space="preserve">NAVFAC EXWC</t>
  </si>
  <si>
    <t xml:space="preserve">Phase I &lt;=$315K; Phase II ~$1.7M; Phase III transition named (AFCEC/USACE)</t>
  </si>
  <si>
    <t xml:space="preserve">Expeditionary greywater; AFFF concentrate; biosolids; GAC/IX residuals</t>
  </si>
  <si>
    <t xml:space="preserve">N254-123 closed Sep 24 2025 - Phase II / Direct-to-Phase-II pathway now; watch FY27 NAVFAC topics</t>
  </si>
  <si>
    <t xml:space="preserve">Direct-fit precedents: autonomous treatment to TB MED 577 reuse standards (N254-123); AFFF concentrate destruction confirmed eligible (N233-117); pursue D2P2 eligibility, Open Topics, or Phase III teaming with current awardees.</t>
  </si>
  <si>
    <t xml:space="preserve">https://www.navysbir.com/n25_411/N254-123.htm</t>
  </si>
  <si>
    <t xml:space="preserve">G-032</t>
  </si>
  <si>
    <t xml:space="preserve">AFWERX/SpaceWERX Open Topic SBIR (TACFI/STRATFI follow-ons)</t>
  </si>
  <si>
    <t xml:space="preserve">USAF AFWERX</t>
  </si>
  <si>
    <t xml:space="preserve">Phase I $75K (SBIR)/$110K (STTR); Phase II up to $2M; Direct-to-Phase-II $1.25M; TACFI $375K-$2M; STRATFI $3M-$15M</t>
  </si>
  <si>
    <t xml:space="preserve">Contested logistics; AFCEC AFFF cleanout wastewater (hangar rinse-out, F3 transition)</t>
  </si>
  <si>
    <t xml:space="preserve">Rolling Open Topic submissions</t>
  </si>
  <si>
    <t xml:space="preserve">Requires a Customer Memorandum - cultivate AFCEC as end user; Open Topic rolling post-reauthorization; Agile Combat &amp; Readiness / Contested Logistics is a named area of interest.</t>
  </si>
  <si>
    <t xml:space="preserve">https://www.afwerx.com/</t>
  </si>
  <si>
    <t xml:space="preserve">G-033</t>
  </si>
  <si>
    <t xml:space="preserve">Watch: DHS S&amp;T SBIR &amp; DARPA BAAs</t>
  </si>
  <si>
    <t xml:space="preserve">DHS S&amp;T / DARPA</t>
  </si>
  <si>
    <t xml:space="preserve">DHS Phase I ~$150K-$200K, Phase II ~$1M; DARPA $0.5M-$5M+</t>
  </si>
  <si>
    <t xml:space="preserve">Water infrastructure resilience; disaster-site water treatment</t>
  </si>
  <si>
    <t xml:space="preserve">DHS 26.1 pre-solicitation expected ~Nov 2026 (one cycle/yr); DARPA rolling BAAs</t>
  </si>
  <si>
    <t xml:space="preserve">DHS last cycle (25.1, 5 topics, none water/PFAS) closed Jan 2025; DARPA AWE water program concluded (AIR2WATER IV&amp;V Jan 2025); current DARPA topics biotech/AI-heavy - monitor for resource-self-sufficient-base BAAs.</t>
  </si>
  <si>
    <t xml:space="preserve">https://www.dhs.gov/science-and-technology/sbir</t>
  </si>
  <si>
    <t xml:space="preserve">G-034</t>
  </si>
  <si>
    <t xml:space="preserve">FEMA BRIC (Building Resilient Infrastructure &amp; Communities) + HMGP</t>
  </si>
  <si>
    <t xml:space="preserve">FEMA Hazard Mitigation Assistance</t>
  </si>
  <si>
    <t xml:space="preserve">Up to $150M per award; 75/25 cost share; $1B combined FY24-25 NOFO</t>
  </si>
  <si>
    <t xml:space="preserve">Water-resilience and PFAS-mitigation infrastructure</t>
  </si>
  <si>
    <t xml:space="preserve">FY24-25 NOFO closed Jul 23 2026; FY25/26 NOFOs expected</t>
  </si>
  <si>
    <t xml:space="preserve">Court-ordered restart after Apr 2025 cancellation (Dec 11 2025 permanent injunction; Mar 6 2026 enforcement order); states/tribes/locals only - company as vendor/subrecipient partner; administration intent to replace the program remains a risk; HMGP active post-disaster.</t>
  </si>
  <si>
    <t xml:space="preserve">https://www.fema.gov/grants/mitigation/building-resilient-infrastructure-communities</t>
  </si>
  <si>
    <t xml:space="preserve">G-035</t>
  </si>
  <si>
    <t xml:space="preserve">USACE ERDC partnerships (CRADAs; open BAA for unsolicited proposals)</t>
  </si>
  <si>
    <t xml:space="preserve">USACE ERDC-CERL</t>
  </si>
  <si>
    <t xml:space="preserve">Negotiated cost-shared collaborations (~5-yr CRADAs typical)</t>
  </si>
  <si>
    <t xml:space="preserve">Waste-heat-driven water production; expeditionary destruction</t>
  </si>
  <si>
    <t xml:space="preserve">Continuous</t>
  </si>
  <si>
    <t xml:space="preserve">Partnership route (not a grant): Sept 2025 CRADAs with Genesis Systems and AirJoule on tactical-generator waste-heat water generation - CERL's operational-water team explicitly seeks logistics-burden reduction; on-ramp to ESTCP demos; N233-117 Phase III names USACE as transition partner.</t>
  </si>
  <si>
    <t xml:space="preserve">https://www.erdc.usace.army.mil/</t>
  </si>
  <si>
    <t xml:space="preserve">G-036</t>
  </si>
  <si>
    <t xml:space="preserve">ONR Long-Range BAA N0001425SB001 (Navy &amp; Marine Corps S&amp;T)</t>
  </si>
  <si>
    <t xml:space="preserve">Office of Naval Research</t>
  </si>
  <si>
    <t xml:space="preserve">~$300K-$1M+/yr per effort, negotiated</t>
  </si>
  <si>
    <t xml:space="preserve">Shipboard/expeditionary water treatment; waste-to-energy S&amp;T</t>
  </si>
  <si>
    <t xml:space="preserve">Full proposals accepted through September 30 2026; white papers strongly encouraged first</t>
  </si>
  <si>
    <t xml:space="preserve">OPEN NOW - for-profits eligible; pitch a waste-heat SCWO water-production white paper to relevant ONR codes (sea platforms &amp; environmental quality); slower and more research-oriented than SBIR/CSO but immediately actionable.</t>
  </si>
  <si>
    <t xml:space="preserve">https://www.grants.gov/search-results-detail/356605</t>
  </si>
  <si>
    <t xml:space="preserve">G-037</t>
  </si>
  <si>
    <t xml:space="preserve">NDCEE demonstration contracts + installation AFFF stockpile destruction</t>
  </si>
  <si>
    <t xml:space="preserve">National Defense Center for Energy &amp; Environment / DoD installations</t>
  </si>
  <si>
    <t xml:space="preserve">Contract vehicles; per-base awards (e.g. Wright-Patterson removal ~$370K)</t>
  </si>
  <si>
    <t xml:space="preserve">PFAS destruction</t>
  </si>
  <si>
    <t xml:space="preserve">AFFF stockpiles (~1,000 facilities); investigation-derived waste</t>
  </si>
  <si>
    <t xml:space="preserve">AFFF phase-out deadline Oct 1 2026 drives near-term contracts; incineration pause lifted 2026</t>
  </si>
  <si>
    <t xml:space="preserve">374Water AirSCWO Navy demo precedent via NDCEE (2023); DoD 2024-25 demo series (10 vendors incl. Revive SCWO Annihilator, 374Water/Arcadis) concluded on-site destruction wins on cost/logistics; bid as sub to prime environmental contractors; leverage ERDC-verified 99.9993% DRE evidence.</t>
  </si>
  <si>
    <t xml:space="preserve">https://www.remediation-technology.com/articles/90-navy-selects-374water-for-joint-ndcee-pfas-project</t>
  </si>
  <si>
    <t xml:space="preserve">G-038</t>
  </si>
  <si>
    <t xml:space="preserve">CA SWRCB DFA: CWSRF / Water Recycling Funding Program / PFAS-emerging contaminants funding</t>
  </si>
  <si>
    <t xml:space="preserve">State</t>
  </si>
  <si>
    <t xml:space="preserve">CA State Water Resources Control Board</t>
  </si>
  <si>
    <t xml:space="preserve">No SRF maximum; ~$12.5M Prop 1 recycling grants proposed FY26-27; $20M stormwater principal-forgiveness cap</t>
  </si>
  <si>
    <t xml:space="preserve">Water; PFAS destruction; Power</t>
  </si>
  <si>
    <t xml:space="preserve">Biosolids/PFAS destruction at POTWs; recycled water</t>
  </si>
  <si>
    <t xml:space="preserve">Rolling/annual IUP; applications via FAAST portal</t>
  </si>
  <si>
    <t xml:space="preserve">Vendor route = partner with a POTW applicant; WRFP fits the distilled-water output; emerging-contaminants IUP supplements fit PFAS destruction.</t>
  </si>
  <si>
    <t xml:space="preserve">https://www.waterboards.ca.gov/water_issues/programs/grants_loans/</t>
  </si>
  <si>
    <t xml:space="preserve">G-039</t>
  </si>
  <si>
    <t xml:space="preserve">CA CEC EPIC cost-share for federal clean energy FOAs</t>
  </si>
  <si>
    <t xml:space="preserve">California Energy Commission</t>
  </si>
  <si>
    <t xml:space="preserve">Varies; matches DOE awards; agreements up to 48 months</t>
  </si>
  <si>
    <t xml:space="preserve">Clean-energy demonstration at CA host sites</t>
  </si>
  <si>
    <t xml:space="preserve">Rolling two-phase process tied to federal FOA timelines; addenda posted through 2026</t>
  </si>
  <si>
    <t xml:space="preserve">Open to public AND private entities (except POUs); projects in CA, demos in PG&amp;E/SCE/SDG&amp;E territory; best paired with a DOE FOA application.</t>
  </si>
  <si>
    <t xml:space="preserve">https://www.grants.ca.gov/grants/cost-share-for-federal-clean-energy-funding-opportunities-epic-program/</t>
  </si>
  <si>
    <t xml:space="preserve">G-040</t>
  </si>
  <si>
    <t xml:space="preserve">CA CEC Food Production Investment Program (FPIP)</t>
  </si>
  <si>
    <t xml:space="preserve">$500K-$5M per award (Tier I up to 65% of eligible costs; 35% match); ~$10.5M in 2025 round</t>
  </si>
  <si>
    <t xml:space="preserve">Food/beverage/dairy processing wastewater</t>
  </si>
  <si>
    <t xml:space="preserve">2025 round closed Sep 12 2025; next round expected 2026-27 (docket 23-ERDD-05)</t>
  </si>
  <si>
    <t xml:space="preserve">Direct private access for CA food processors; co-apply with a food/beverage/dairy host site (winery, brewery, dairy streams); dairy decarbonization precedent.</t>
  </si>
  <si>
    <t xml:space="preserve">https://www.grants.ca.gov/grants/gfo-22-303-food-production-investment-program/</t>
  </si>
  <si>
    <t xml:space="preserve">G-041</t>
  </si>
  <si>
    <t xml:space="preserve">CA CalRecycle Organics Grant Program (SB 1383)</t>
  </si>
  <si>
    <t xml:space="preserve">CalRecycle</t>
  </si>
  <si>
    <t xml:space="preserve">~$100K-$10M+ per award</t>
  </si>
  <si>
    <t xml:space="preserve">Food/green waste co-processing (NOT biosolids)</t>
  </si>
  <si>
    <t xml:space="preserve">Intermittent rounds dependent on Cap-and-Invest/GGRF allocations</t>
  </si>
  <si>
    <t xml:space="preserve">CRITICAL CAVEAT: biosolids are explicitly NOT an eligible feedstock - projects composting/digesting only sewage sludge are ineligible; pursue only if framed around landfill-diverted food/green waste co-processing. Low fit for core HCSP.</t>
  </si>
  <si>
    <t xml:space="preserve">https://calrecycle.ca.gov/funding/</t>
  </si>
  <si>
    <t xml:space="preserve">G-042</t>
  </si>
  <si>
    <t xml:space="preserve">CA DWR Sustainable Groundwater Management (SGM) grants (Prop 4)</t>
  </si>
  <si>
    <t xml:space="preserve">CA Dept. of Water Resources</t>
  </si>
  <si>
    <t xml:space="preserve">~$386M Prop 4 pot (one round anticipated); small-GSA/TA tranches now</t>
  </si>
  <si>
    <t xml:space="preserve">Produced-water/wastewater treatment feeding groundwater recharge</t>
  </si>
  <si>
    <t xml:space="preserve">Draft guidelines comment thru Sep 30 2026; full solicitation ~summer 2027</t>
  </si>
  <si>
    <t xml:space="preserve">GSAs/public agencies/nonprofits/tribes only - partner with a GSA or member agency; project must be in an adopted GSP; distilled-water output supports recharge-quality projects.</t>
  </si>
  <si>
    <t xml:space="preserve">https://water.ca.gov/sgmgrants</t>
  </si>
  <si>
    <t xml:space="preserve">G-043</t>
  </si>
  <si>
    <t xml:space="preserve">TX TWDB SWIFT + TX CWSRF</t>
  </si>
  <si>
    <t xml:space="preserve">Texas Water Development Board</t>
  </si>
  <si>
    <t xml:space="preserve">Multi-$M low-interest loans; &gt;=20% of SWIFT historically reserved for conservation/reuse</t>
  </si>
  <si>
    <t xml:space="preserve">Reuse/new-supply strategies; municipal wastewater</t>
  </si>
  <si>
    <t xml:space="preserve">SWIFT 2026 abridged apps closed Feb 2 2026 (next cycle early 2027); CWSRF SFY27 PIFs closed Mar 6 2026 (next SFY28)</t>
  </si>
  <si>
    <t xml:space="preserve">Political subdivisions and nonprofit water supply corporations only; projects must be State Water Plan recommended strategies (2026 update finalizing); same municipal mechanism as the Orlando template.</t>
  </si>
  <si>
    <t xml:space="preserve">https://www.twdb.texas.gov/financial/programs/swift/</t>
  </si>
  <si>
    <t xml:space="preserve">G-044</t>
  </si>
  <si>
    <t xml:space="preserve">Texas Water Fund / New Water Supply for Texas Fund (Prop 6 2023; Prop 4 Nov 2025)</t>
  </si>
  <si>
    <t xml:space="preserve">&gt;=$250M initial New Water Supply fund; Prop 4 dedicates up to $20B sales-tax revenue 2027-2047</t>
  </si>
  <si>
    <t xml:space="preserve">Oil &amp; gas produced-water treatment; brackish desal; ASR</t>
  </si>
  <si>
    <t xml:space="preserve">2026 interim-year rulemaking/positioning; Prop 4 flows begin 2027</t>
  </si>
  <si>
    <t xml:space="preserve">Highest-priority TX strategic target: produced-water treatment projects explicitly eligible; 7M acre-ft new-supply target by 2033; vendor participates via project sponsor while TWDB updates rules in 2026.</t>
  </si>
  <si>
    <t xml:space="preserve">https://www.twdb.texas.gov/</t>
  </si>
  <si>
    <t xml:space="preserve">G-045</t>
  </si>
  <si>
    <t xml:space="preserve">TX produced-water pilot ecosystem (TWDB Ag Water Conservation Grants; TX Produced Water Consortium)</t>
  </si>
  <si>
    <t xml:space="preserve">TWDB / Texas Tech et al.</t>
  </si>
  <si>
    <t xml:space="preserve">Ag grants $29K-$500K ($1.5M awarded Jun 25 2026); consortium pilot-scale projects</t>
  </si>
  <si>
    <t xml:space="preserve">Permian/Delaware basin produced-water reuse pilots</t>
  </si>
  <si>
    <t xml:space="preserve">Annual ag-grant cycle (next ~mid-2027); consortium ongoing</t>
  </si>
  <si>
    <t xml:space="preserve">Sandy Land UWCD awarded $103,866 to evaluate treated produced water as supplemental irrigation supply; TXPWC recommended Delaware &amp; Midland basin 50-bbl/day pilots - submit technology via groundwater district / university testbed partners.</t>
  </si>
  <si>
    <t xml:space="preserve">https://www.twdb.texas.gov/financial/programs/agriculture/</t>
  </si>
  <si>
    <t xml:space="preserve">G-046</t>
  </si>
  <si>
    <t xml:space="preserve">AZ WIFA Long-Term Water Augmentation Fund - In-State Water Augmentation cycle</t>
  </si>
  <si>
    <t xml:space="preserve">Arizona Water Infrastructure Finance Authority</t>
  </si>
  <si>
    <t xml:space="preserve">Fund balance ~$376M (post FY26 clawback); awards &gt;$50M require Joint Legislative Water Committee review</t>
  </si>
  <si>
    <t xml:space="preserve">Wastewater reclamation to potable/distilled; fab/data-center offtakers</t>
  </si>
  <si>
    <t xml:space="preserve">In-State Water Augmentation funding cycle OPEN since Nov 17 2025</t>
  </si>
  <si>
    <t xml:space="preserve">Excellent fit: private project developers can propose within project teams - WIFA selected seven Phase-1 proposals from companies (incl. desal and wastewater-to-drinking-water) and funds Phase-2 feasibility (18-24 months, underway 2026).</t>
  </si>
  <si>
    <t xml:space="preserve">https://wifa.az.gov/</t>
  </si>
  <si>
    <t xml:space="preserve">G-047</t>
  </si>
  <si>
    <t xml:space="preserve">AZ WIFA Water Conservation Grant Fund (winding down) &amp; WSDRF / SRFs</t>
  </si>
  <si>
    <t xml:space="preserve">Arizona WIFA</t>
  </si>
  <si>
    <t xml:space="preserve">WCGF $14.1M federal remainder (projects completable by Jun 30 2026); WSDRF balance ~$157.7M</t>
  </si>
  <si>
    <t xml:space="preserve">Conservation; rural providers outside CAP Active Management Areas</t>
  </si>
  <si>
    <t xml:space="preserve">WCGF winding down; WSDRF rolling (SFY26 public review posted late 2025)</t>
  </si>
  <si>
    <t xml:space="preserve">WCGF is legacy only - watch for re-capitalization (FY26 added only $250K); NGOs may apply to WCGF if partnered with an eligible entity; WSDRF restricted to providers outside CAP AMAs.</t>
  </si>
  <si>
    <t xml:space="preserve">https://www.azjlbc.gov/26AR/wifa.pdf</t>
  </si>
  <si>
    <t xml:space="preserve">G-048</t>
  </si>
  <si>
    <t xml:space="preserve">FL CWSRF + BIL emerging-contaminants grants (Orlando/374Water template)</t>
  </si>
  <si>
    <t xml:space="preserve">Florida DEP</t>
  </si>
  <si>
    <t xml:space="preserve">~$800K demo precedent; full-scale follow-ons $3M-$5M</t>
  </si>
  <si>
    <t xml:space="preserve">Biosolids/PFAS destruction at water reclamation facilities</t>
  </si>
  <si>
    <t xml:space="preserve">Rolling/annual via FL DEP</t>
  </si>
  <si>
    <t xml:space="preserve">THE template transaction: Orlando's FL CWSRF/BIL grant (Feb 2024, ~$800K+) funded the AirSCWO demo at Iron Bridge -&gt; 5-year waste-destruction license (Mar 2026) -&gt; $3M-$5M full-scale PFAS destruction &amp; manufacturing hub (Jun 2026). Replicate with FL utilities.</t>
  </si>
  <si>
    <t xml:space="preserve">https://floridadep.gov/wra</t>
  </si>
  <si>
    <t xml:space="preserve">G-049</t>
  </si>
  <si>
    <t xml:space="preserve">FL FDEP Water Restoration grant programs (incl. Innovative Technology for HABs)</t>
  </si>
  <si>
    <t xml:space="preserve">Alternative Water Supply $500K-$10M+; HAB Innovative Technology $250K-$5M; Springs $500K-$8M+</t>
  </si>
  <si>
    <t xml:space="preserve">Nutrient/HAB destruction pilots; biosolids/PFAS angle post-Orlando</t>
  </si>
  <si>
    <t xml:space="preserve">FY 2026-27 portal openings rolling (several close ~Sep 1)</t>
  </si>
  <si>
    <t xml:space="preserve">Nonstate entities can participate; utilities typically lead; FL HB 1019 (signed Jun 17 2026) creating AFFF inventory adds a PFAS-destruction demand signal.</t>
  </si>
  <si>
    <t xml:space="preserve">https://floridadep.gov/comm/comm/content/dep-funding-opportunities</t>
  </si>
  <si>
    <t xml:space="preserve">G-050</t>
  </si>
  <si>
    <t xml:space="preserve">NYSERDA Waste-to-Low-Carbon-Fuels Pilot &amp; Demonstration (+ July 2026 $8M alternative-fuels round)</t>
  </si>
  <si>
    <t xml:space="preserve">NYSERDA</t>
  </si>
  <si>
    <t xml:space="preserve">~$8M solicitations; &gt;=50% non-NYSERDA cost share; 3-phase pilot-&gt;demo structure</t>
  </si>
  <si>
    <t xml:space="preserve">Wastewater sludge to fuels (SAF, RNG, renewable diesel, methanol, e-fuels)</t>
  </si>
  <si>
    <t xml:space="preserve">2025 solicitation (Aug 2025) + $8M round announced Jul 21 2026 under PSC Innovation &amp; Research Order</t>
  </si>
  <si>
    <t xml:space="preserve">Best direct-access NY program: private technology providers eligible as project leads (with EPC + host-site/feedstock/end-user letters); wastewater sludge explicitly eligible feedstock; biogas/hydrogen excluded as end fuels - align product carefully; $24M grid modernization solicitation (Jun 2026) is the alternative track for power/cooling.</t>
  </si>
  <si>
    <t xml:space="preserve">https://www.nyserda.ny.gov/</t>
  </si>
  <si>
    <t xml:space="preserve">G-051</t>
  </si>
  <si>
    <t xml:space="preserve">NY EFC programs (WIIA/IMG, EPG, CWSRF incl. BIL-EC landfill leachate awards)</t>
  </si>
  <si>
    <t xml:space="preserve">NY Environmental Facilities Corporation</t>
  </si>
  <si>
    <t xml:space="preserve">WIIA ~$200M expected over next 3 SFYs ($453M awarded Dec 19 2025); EPG $50K/$100K; 0% hardship CWSRF loans</t>
  </si>
  <si>
    <t xml:space="preserve">Landfill leachate pretreatment; regional biosolids hubs</t>
  </si>
  <si>
    <t xml:space="preserve">Annual rounds (WIIA historically closes ~September; EPG/GIGP closed Jun 12 2026)</t>
  </si>
  <si>
    <t xml:space="preserve">Proven leachate precedents under CWSRF-EC: Steuben County $25.3M, Malone $14.5M, Hurley $1.3M, DANC $1.4M; IMG favors multi-municipal shared projects - fits the regional SCWO hub model; municipalities only.</t>
  </si>
  <si>
    <t xml:space="preserve">https://efc.ny.gov/wiia</t>
  </si>
  <si>
    <t xml:space="preserve">G-052</t>
  </si>
  <si>
    <t xml:space="preserve">NJDEP EC-SDC Emerging Contaminants grant ($33.6M for NJ)</t>
  </si>
  <si>
    <t xml:space="preserve">NJDEP</t>
  </si>
  <si>
    <t xml:space="preserve">$33.6M allotment announced May 19 2026</t>
  </si>
  <si>
    <t xml:space="preserve">Small/disadvantaged NJ water systems</t>
  </si>
  <si>
    <t xml:space="preserve">Rolling application/notification</t>
  </si>
  <si>
    <t xml:space="preserve">Vendor via public water system partner; part of the final $1B national EC-SDC year - engage NJ systems while funds allot.</t>
  </si>
  <si>
    <t xml:space="preserve">https://dep.nj.gov/grantandloanprograms/ecsdc/</t>
  </si>
  <si>
    <t xml:space="preserve">G-053</t>
  </si>
  <si>
    <t xml:space="preserve">NJ PFAS Abatement Fund ($795M) via NJ Water Bank</t>
  </si>
  <si>
    <t xml:space="preserve">NJDEP / NJ Water Bank</t>
  </si>
  <si>
    <t xml:space="preserve">Settlement fund</t>
  </si>
  <si>
    <t xml:space="preserve">$795M fund; &gt;=$150M to Water Bank for POTWs; &gt;=$90M to counties for AFFF sites; SFY26 IUPs ~$900M clean-water + ~$790M drinking-water baseline</t>
  </si>
  <si>
    <t xml:space="preserve">POTW PFAS capital upgrades; AFFF sites (fire academies, airports)</t>
  </si>
  <si>
    <t xml:space="preserve">Program design rolling out post court approval (Aug 7 2026) - engage now</t>
  </si>
  <si>
    <t xml:space="preserve">Time-sensitive: ~$2.5B DuPont/3M settlements approved Aug 7 2026; no/low-interest loans + principal forgiveness for POTW PFAS capital upgrades; AFFF-destruction services fit the Orlando hub model; shape project pipelines while the program forms.</t>
  </si>
  <si>
    <t xml:space="preserve">https://dep.nj.gov/3m/</t>
  </si>
  <si>
    <t xml:space="preserve">G-054</t>
  </si>
  <si>
    <t xml:space="preserve">PA PENNVEST (incl. Growing Greener / Act 13 WRPP as secondary channels)</t>
  </si>
  <si>
    <t xml:space="preserve">PENNVEST</t>
  </si>
  <si>
    <t xml:space="preserve">Up to $11M/project ($20M multi-municipality; board can exceed for regional consolidation); grant + 1.7-2.2% loan blends</t>
  </si>
  <si>
    <t xml:space="preserve">Marcellus produced water; water reuse; energy efficiency; emerging contaminants</t>
  </si>
  <si>
    <t xml:space="preserve">Rolling applications; quarterly board-meeting cutoffs</t>
  </si>
  <si>
    <t xml:space="preserve">Best direct-access program in the Northeast: 'any municipality, authority or private entity that is an owner and/or operator' is eligible DIRECTLY; emerging-contaminants track funds PFAS treatment (a destruction proposal would be novel; reuse/energy tracks fit); precedent: $2.45M grant + $27.76M loan to PA American Water Silver Spring PFAS plant (Jul 2026).</t>
  </si>
  <si>
    <t xml:space="preserve">https://dced.pa.gov/programs/pennsylvania-infrastructure-investment-authority-pennvest/</t>
  </si>
  <si>
    <t xml:space="preserve">G-055</t>
  </si>
  <si>
    <t xml:space="preserve">ME PFAS/sludge response ($50M bond request; utility pilots)</t>
  </si>
  <si>
    <t xml:space="preserve">Maine DEP / Legislature</t>
  </si>
  <si>
    <t xml:space="preserve">$50M bond proposed; project-scale pilots</t>
  </si>
  <si>
    <t xml:space="preserve">Biosolids/sludge PFAS destruction at POTWs</t>
  </si>
  <si>
    <t xml:space="preserve">Bond vote expected by May 2026 - OUTCOME UNCONFIRMED, verify before relying</t>
  </si>
  <si>
    <t xml:space="preserve">DEP/MEWEA/Brown &amp; Caldwell study explicitly recommends funding PFAS destruction pilot studies; York Sewer District pursuing a 2028 modular SCWO pilot; Anson Madison regional PFAS center seeking funds; IIJA EC CWSRF overlay available to ME POTWs.</t>
  </si>
  <si>
    <t xml:space="preserve">https://www.maine.gov/dep/spills/topics/pfas/</t>
  </si>
  <si>
    <t xml:space="preserve">G-056</t>
  </si>
  <si>
    <t xml:space="preserve">CT/MA biosolids-ban-driven PFAS programs (CT EC-SDC $9.46M; MA MassDEP PFAS grants; MA Trust Fund pending)</t>
  </si>
  <si>
    <t xml:space="preserve">CT DEEP / MassDEP</t>
  </si>
  <si>
    <t xml:space="preserve">CT $9.457M EC-SDC (May 2026); MA Ipswich River round ~$900K across five communities</t>
  </si>
  <si>
    <t xml:space="preserve">Biosolids (CT ban drives destruction demand); drinking-water PFAS pilots</t>
  </si>
  <si>
    <t xml:space="preserve">Rolling (CT); periodic (MA); MA 2026 IUPs discontinued 0% PFAS loans - shift to loan forgiveness</t>
  </si>
  <si>
    <t xml:space="preserve">CT banned PFAS-containing biosolids from use/sale (Oct 2024) and extended to fertilizers with PFAS-free certification (Jul 2025) - a direct destruction-demand driver; MA PFAS Remediation Trust Fund bill pending (not enacted as of Sept 2026); route via municipal WPCFs.</t>
  </si>
  <si>
    <t xml:space="preserve">https://www.epa.gov/newsreleases/epa-announces-95-million-connecticut-address-pfas-drinking-water</t>
  </si>
  <si>
    <t xml:space="preserve">G-057</t>
  </si>
  <si>
    <t xml:space="preserve">Islands: HI (USDA Rural Decentralized Water grants; NELHA testbed) &amp; USVI/PR (SRF-IIJA ~$21M, SmaRT, WIFIA territories)</t>
  </si>
  <si>
    <t xml:space="preserve">USDA RD / NELHA / EPA-territories</t>
  </si>
  <si>
    <t xml:space="preserve">USVI ~$21M IIJA (majority as grants/forgivable loans); SmaRT FY26 USVI $176K / PR $524K; WIFIA &gt;=$5M ($1M small communities)</t>
  </si>
  <si>
    <t xml:space="preserve">Island water+power microgrids; decentralized water systems</t>
  </si>
  <si>
    <t xml:space="preserve">USDA decentralized water applications open Jul 28 - Sep 30 2026; SRF rolling</t>
  </si>
  <si>
    <t xml:space="preserve">Island deployments (power + distilled water from wastewater) fit WIFIA + SRF via territorial utilities (VIWAPA/WMA); NELHA is a proven federal-award demonstration venue (Trevi $2M DOE SETO); USDA window LIVE NOW via nonprofits.</t>
  </si>
  <si>
    <t xml:space="preserve">https://www.rd.usda.gov/programs-services/water-environmental-programs/rural-decentralized-water-systems-grant-program-30</t>
  </si>
  <si>
    <t xml:space="preserve">G-058</t>
  </si>
  <si>
    <t xml:space="preserve">OC San RISE innovation program (Orange County, CA)</t>
  </si>
  <si>
    <t xml:space="preserve">Municipal-utility</t>
  </si>
  <si>
    <t xml:space="preserve">Orange County Sanitation District</t>
  </si>
  <si>
    <t xml:space="preserve">Pilot/demo-scale; in-kind + co-funding</t>
  </si>
  <si>
    <t xml:space="preserve">Biosolids/PFAS solutions at a 190-MGD utility</t>
  </si>
  <si>
    <t xml:space="preserve">Rolling (standing innovation front door)</t>
  </si>
  <si>
    <t xml:space="preserve">Open vendor front door actively seeking PFAS/solids solutions (SCWO, deep-well injection); 6-ton/day AirSCWO Nix6 demo with 374Water underway - direct competitive precedent and partnership model.</t>
  </si>
  <si>
    <t xml:space="preserve">https://ocsan.gov/RISE</t>
  </si>
  <si>
    <t xml:space="preserve">G-059</t>
  </si>
  <si>
    <t xml:space="preserve">MWD of Southern California innovation programs (mwdinnovates.com)</t>
  </si>
  <si>
    <t xml:space="preserve">Metropolitan Water District of Southern California</t>
  </si>
  <si>
    <t xml:space="preserve">Innovative Conservation Program direct grants; Innovative Supplies Funding Program</t>
  </si>
  <si>
    <t xml:space="preserve">New-supply &amp; conservation technology; C&amp;I water savings</t>
  </si>
  <si>
    <t xml:space="preserve">Rolling / annual programs</t>
  </si>
  <si>
    <t xml:space="preserve">Direct grant funding in partnership with member agencies; Technology Feedback Forum as pitch venue; EMWD CCRO pilot precedent shows CA utilities co-fund vendor pilots with state money.</t>
  </si>
  <si>
    <t xml:space="preserve">http://www.mwdinnovates.com/</t>
  </si>
  <si>
    <t xml:space="preserve">G-060</t>
  </si>
  <si>
    <t xml:space="preserve">The Water Council Pilot Program (Milwaukee, WI)</t>
  </si>
  <si>
    <t xml:space="preserve">The Water Council / MMSD / Fund for Lake Michigan</t>
  </si>
  <si>
    <t xml:space="preserve">Pilot-scale; transfers prototypes to Wisconsin demonstration sites</t>
  </si>
  <si>
    <t xml:space="preserve">Nutrient removal &amp; energy production pilots; dairy belt</t>
  </si>
  <si>
    <t xml:space="preserve">Rolling (membership required)</t>
  </si>
  <si>
    <t xml:space="preserve">Businesses of any size eligible; funded by Fund for Lake Michigan, MMSD, Wells Fargo; MMSD pilot-&gt;demo-&gt;procurement pathway proven (Tomorrow Water Proteus advanced to 2.25-MGD commercial demo, Mar 2026).</t>
  </si>
  <si>
    <t xml:space="preserve">https://www.mmsd.com/about-us/news/funding-available-for-pilot-program</t>
  </si>
  <si>
    <t xml:space="preserve">G-061</t>
  </si>
  <si>
    <t xml:space="preserve">MN LCCMR / Environment &amp; Natural Resources Trust Fund (state SCWO funding precedent)</t>
  </si>
  <si>
    <t xml:space="preserve">State of Minnesota LCCMR</t>
  </si>
  <si>
    <t xml:space="preserve">Project-scale awards</t>
  </si>
  <si>
    <t xml:space="preserve">Biosolids PFAS destruction</t>
  </si>
  <si>
    <t xml:space="preserve">374Water award announced Dec 30 2025; project starts Apr 2026; watch next ENRTF cycles</t>
  </si>
  <si>
    <t xml:space="preserve">Proof that state trust/legacy funds directly sponsor SCWO biosolids destruction (374Water + Barr Engineering + U. St. Thomas + MnTAP + City of St. Cloud); analogous trust/legacy vehicles exist in other states.</t>
  </si>
  <si>
    <t xml:space="preserve">https://www.globenewswire.com/news-release/2025/12/30/3211393/0/en/</t>
  </si>
  <si>
    <t xml:space="preserve">G-062</t>
  </si>
  <si>
    <t xml:space="preserve">3M Public Water System settlement (AFFF MDL 2873)</t>
  </si>
  <si>
    <t xml:space="preserve">Private-foundation</t>
  </si>
  <si>
    <t xml:space="preserve">Settlement Claims Administrator (pfaswatersettlement.com)</t>
  </si>
  <si>
    <t xml:space="preserve">$10.5B-$12.5B over 13 yrs; &gt;$3.5B paid to Phase 1 claimants</t>
  </si>
  <si>
    <t xml:space="preserve">Drinking-water treatment residuals (GAC/IX/RO concentrates, AFFF)</t>
  </si>
  <si>
    <t xml:space="preserve">Phase 2 Action Fund claims closed Jul 31 2026; Supplemental Fund claims open through Dec 31 2030</t>
  </si>
  <si>
    <t xml:space="preserve">No court-run vendor list - &gt;6,600 claimant systems receive cash 2026-2033 and procure treatment; sell destruction as the residuals-management step; partner with engineering firms (AECOM, Jacobs, Tetra Tech, Brown and Caldwell) writing utility treatment plans.</t>
  </si>
  <si>
    <t xml:space="preserve">https://www.pfaswatersettlement.com/3m-frequently-asked-questions/</t>
  </si>
  <si>
    <t xml:space="preserve">G-063</t>
  </si>
  <si>
    <t xml:space="preserve">DuPont/Chemours/Corteva ($1.185B) + Tyco ($750M) + BASF ($316.5M) PWS settlements</t>
  </si>
  <si>
    <t xml:space="preserve">Settlement Claims Administrators</t>
  </si>
  <si>
    <t xml:space="preserve">$2.25B combined; DuPont distributing since Oct 2025; Tyco from Mar 2026; BASF from Apr 2026</t>
  </si>
  <si>
    <t xml:space="preserve">Drinking-water treatment residuals</t>
  </si>
  <si>
    <t xml:space="preserve">Distributing; Special Needs Fund (~$430M across settlements) oversubscribed - pro-rata cuts expected mid-2026</t>
  </si>
  <si>
    <t xml:space="preserve">~3,900 systems filed in Tyco/BASF settlements covering ~19,600 water sources; same downstream vendor play as the 3M settlement; only incurred out-of-pocket costs qualify for claims.</t>
  </si>
  <si>
    <t xml:space="preserve">https://stagliuzza.com/news/pfas-public-water-system-settlement-update-april-2026/</t>
  </si>
  <si>
    <t xml:space="preserve">G-064</t>
  </si>
  <si>
    <t xml:space="preserve">WI Acts 200/201 PFAS grant programs (&gt;$130M)</t>
  </si>
  <si>
    <t xml:space="preserve">Wisconsin DNR</t>
  </si>
  <si>
    <t xml:space="preserve">Community/municipal PFAS grants (~20% match); Airport &amp; Industrial Possessor grants; landfill leachate/biosolids treatment grants; well compensation</t>
  </si>
  <si>
    <t xml:space="preserve">Landfill leachate; biosolids disposal; on-site treatment systems</t>
  </si>
  <si>
    <t xml:space="preserve">Launching summer 2026 - winter 2026 (sampling grants first)</t>
  </si>
  <si>
    <t xml:space="preserve">Most direct state-level door for a leachate vendor: grants to municipalities AND privately owned landfills to dispose of PFAS-containing biosolids/leachate OR purchase and install on-site treatment systems (up to 20% match); DNR also directed to study destruction/disposal methods.</t>
  </si>
  <si>
    <t xml:space="preserve">https://content.govdelivery.com/accounts/WIDNR/bulletins/411b1f6</t>
  </si>
  <si>
    <t xml:space="preserve">G-065</t>
  </si>
  <si>
    <t xml:space="preserve">NC DEQ Emerging Contaminants/PFAS funding (+ MI EC-SDC/EGLE as parallel channel)</t>
  </si>
  <si>
    <t xml:space="preserve">NC DEQ (parallel: EGLE/MI)</t>
  </si>
  <si>
    <t xml:space="preserve">NC: $55M state budget + ~$35M Cape Fear (Mar 2026) + BIL SRF-EC at 100% principal forgiveness; MI: $22.07M EC-SDC + ~$20M/yr EGLE CCRR</t>
  </si>
  <si>
    <t xml:space="preserve">Drinking water, wastewater AND landfill leachate construction</t>
  </si>
  <si>
    <t xml:space="preserve">NC rolling deadlines through Nov 2 2026; MI rolling via state</t>
  </si>
  <si>
    <t xml:space="preserve">NC: construction &amp; planning grants for PFAS incl. leachate; publicly owned landfills eligible for CWSRF-EC; pending bills (HB 569 polluter liability; SB 666 $56M utility reimbursement fund) could add more. MI caveat: state MCLs in litigation limbo (Supreme Court vacated/remanded Mar 2025).</t>
  </si>
  <si>
    <t xml:space="preserve">https://www.deq.nc.gov/about/divisions/water-infrastructure/emerging-contaminants-pfas-funding</t>
  </si>
  <si>
    <t xml:space="preserve">G-066</t>
  </si>
  <si>
    <t xml:space="preserve">EREF (Environmental Research &amp; Education Foundation) landfill research grants</t>
  </si>
  <si>
    <t xml:space="preserve">EREF</t>
  </si>
  <si>
    <t xml:space="preserve">~$100K-scale research grants</t>
  </si>
  <si>
    <t xml:space="preserve">Landfill leachate treatment/destruction</t>
  </si>
  <si>
    <t xml:space="preserve">Rolling pre-proposals</t>
  </si>
  <si>
    <t xml:space="preserve">Small dollars but unmatched industry visibility: Emerging Contaminants (leachate disposal/treatment) is a stated research priority; propose an SCWO leachate demonstration with a member landfill - direct channel to Waste Management/Republic-type operators ahead of the landfill PFAS ELG (proposed rule ~Mar 2027, final ~Mar 2029).</t>
  </si>
  <si>
    <t xml:space="preserve">https://erefdn.org/research/innovative-technologies-to-treat-per-and-polyfluoroalkyl-substances-pfas-in-landfill-leachate/</t>
  </si>
  <si>
    <t xml:space="preserve">G-067</t>
  </si>
  <si>
    <t xml:space="preserve">Imagine H2O Global Accelerator (incl. Asia track)</t>
  </si>
  <si>
    <t xml:space="preserve">Imagine H2O</t>
  </si>
  <si>
    <t xml:space="preserve">Accelerator</t>
  </si>
  <si>
    <t xml:space="preserve">Zero-equity; ~$25K non-dilutive award + mentorship/network</t>
  </si>
  <si>
    <t xml:space="preserve">Water; PFAS destruction; Power; Cooling</t>
  </si>
  <si>
    <t xml:space="preserve">PFAS destruction; biosolids; industrial reuse; data-center water</t>
  </si>
  <si>
    <t xml:space="preserve">2027 cohort applications open November 2026, close December 2026; program Apr-Nov 2027</t>
  </si>
  <si>
    <t xml:space="preserve">The best-aligned water-sector accelerator; 2026 cohort explicitly featured PFAS detection/destruction and sludge-destruction startups (AxNano, Beyond the Dome) - HCSP's category confirmed in-scope; eligibility: incorporated &lt;7 yrs, revenue &lt;$5M, equity raised &lt;$10M; Asia track relevant to distillery/island verticals.</t>
  </si>
  <si>
    <t xml:space="preserve">https://www.imagineh2o.org/apply/</t>
  </si>
  <si>
    <t xml:space="preserve">G-068</t>
  </si>
  <si>
    <t xml:space="preserve">Imagine H2O Water Innovation Pilot Fund</t>
  </si>
  <si>
    <t xml:space="preserve">Imagine H2O (+ Oceankind, Coca-Cola Foundation)</t>
  </si>
  <si>
    <t xml:space="preserve">Recoverable grant</t>
  </si>
  <si>
    <t xml:space="preserve">~$50K-$150K per pilot ($3.2M committed across 33 pilots to date)</t>
  </si>
  <si>
    <t xml:space="preserve">Paid pilots with utility/industrial early adopters (biosolids, distillery, dairy)</t>
  </si>
  <si>
    <t xml:space="preserve">Rolling</t>
  </si>
  <si>
    <t xml:space="preserve">Recoverable grants (repayable on commercial success; still non-dilutive) purpose-built to co-fund exactly the paid pilot HCSP needs; claims 10x follow-on capital mobilized; open to water startups with pilot-ready tech beyond the accelerator pipeline.</t>
  </si>
  <si>
    <t xml:space="preserve">https://www.imagineh2o.org/pilot-fund/</t>
  </si>
  <si>
    <t xml:space="preserve">G-069</t>
  </si>
  <si>
    <t xml:space="preserve">Water Research Foundation - Tailored Collaboration Program et al.</t>
  </si>
  <si>
    <t xml:space="preserve">Water Research Foundation</t>
  </si>
  <si>
    <t xml:space="preserve">1:1 cash match up to $150K per project</t>
  </si>
  <si>
    <t xml:space="preserve">Utility-sponsored technology evaluation (biosolids/PFAS)</t>
  </si>
  <si>
    <t xml:space="preserve">2026 pre-proposals closed Mar 17 2026; next cycle expected ~Q1 2027; eight open research projects announced Jul 2026</t>
  </si>
  <si>
    <t xml:space="preserve">Projects must be sponsored by a WRF-subscribing utility; HCSP participates as technology/research partner; results published sector-wide - strong de-risking for the municipal market; also Emerging Opportunities Program for urgent PFAS issues.</t>
  </si>
  <si>
    <t xml:space="preserve">https://www.waterrf.org/research</t>
  </si>
  <si>
    <t xml:space="preserve">G-070</t>
  </si>
  <si>
    <t xml:space="preserve">Elemental Impact Data Center Innovation Initiative (DCII) + core Strategy/Project Tracks</t>
  </si>
  <si>
    <t xml:space="preserve">Corporate</t>
  </si>
  <si>
    <t xml:space="preserve">Elemental Impact (with Amazon, Google, Meta, Microsoft)</t>
  </si>
  <si>
    <t xml:space="preserve">Equity-not-grant</t>
  </si>
  <si>
    <t xml:space="preserve">$500K-$5M per project; up to 10 startups through 2027 (DCII); core tracks case-by-case</t>
  </si>
  <si>
    <t xml:space="preserve">Cooling; Power; Water</t>
  </si>
  <si>
    <t xml:space="preserve">Data-center cooling/water (30-80% WUE reduction or 20-40% cooling-energy target)</t>
  </si>
  <si>
    <t xml:space="preserve">Rolling through 2027</t>
  </si>
  <si>
    <t xml:space="preserve">Flagship 2026-27 private program for the 'clean water + cooling + power for data centers' story; philanthropy-anchored (Breakthrough Energy Discovery, Builders Vision, Salesforce, Stolte Family Foundation); investment structure case-by-case (equity/debt/hybrid) - catalytic, not pure grant; core Project Track funds FOAK deployments.</t>
  </si>
  <si>
    <t xml:space="preserve">https://elementalimpact.com/data-center-innovation-initiative/</t>
  </si>
  <si>
    <t xml:space="preserve">G-071</t>
  </si>
  <si>
    <t xml:space="preserve">PRIME Coalition (Prime Impact Fund, $52M)</t>
  </si>
  <si>
    <t xml:space="preserve">PRIME Coalition</t>
  </si>
  <si>
    <t xml:space="preserve">Deal-specific recoverable grants / PRIs ($52M fund; $100M+ catalytic capital across vehicles)</t>
  </si>
  <si>
    <t xml:space="preserve">Capital-intensive FOAK climate hardware</t>
  </si>
  <si>
    <t xml:space="preserve">Relationship-based, rolling</t>
  </si>
  <si>
    <t xml:space="preserve">Charitable capital (recoverable = repayable on success; non-dilutive or minimally dilutive) for hard-to-fund climate hardware - SCWO FOAK plants with an additionality story fit the thesis exactly; backers incl. MacArthur, Packard, Sierra Club Foundation; expanding Prime-Facilitated platform in 2026.</t>
  </si>
  <si>
    <t xml:space="preserve">https://www.primecoalition.org/</t>
  </si>
  <si>
    <t xml:space="preserve">G-072</t>
  </si>
  <si>
    <t xml:space="preserve">Lab-embedded entrepreneurship fellowships (Activate/Cyclotron Road; Chain Reaction Innovations/Argonne; LEEP nodes) + small catalytic vehicles (NY Climate Exchange; Greentown ACCEL - verify dormancy)</t>
  </si>
  <si>
    <t xml:space="preserve">Activate / DOE LEEP nodes / NY Climate Exchange / Greentown Labs</t>
  </si>
  <si>
    <t xml:space="preserve">&gt;$300K over 2 yrs (Activate); $115K/yr x 2 (CRI); $10K-$25K small vehicles; no equity</t>
  </si>
  <si>
    <t xml:space="preserve">Funds an individual technical founder, not the company</t>
  </si>
  <si>
    <t xml:space="preserve">Activate Cohort 2027 applications open Sep 15 2026; CRI applications open Sep 2026; NY Climate Exchange deadline Aug 1 2026 (annual)</t>
  </si>
  <si>
    <t xml:space="preserve">Only if a technical founder/CTO-level hire applies as an individual; Argonne's separations/water chemistry facilities are a strong technical match for SCWO R&amp;D; part of DOE's Lab-Embedded Entrepreneurship Program (federal linkage, privately run); Greentown ACCEL possibly dormant - verify.</t>
  </si>
  <si>
    <t xml:space="preserve">https://www.activate.org/</t>
  </si>
  <si>
    <t xml:space="preserve">G-073</t>
  </si>
  <si>
    <t xml:space="preserve">Hyperscaler water-replenishment programs (Google 120% by 2030; AWS / Meta / Microsoft water-positive 2030)</t>
  </si>
  <si>
    <t xml:space="preserve">Google / AWS / Meta / Microsoft</t>
  </si>
  <si>
    <t xml:space="preserve">Program-scale (e.g. Google $17M new US projects Jun 2026; AWS 50+ projects &gt;21B L/yr); per-project contracts</t>
  </si>
  <si>
    <t xml:space="preserve">Water; Cooling</t>
  </si>
  <si>
    <t xml:space="preserve">Replenishment projects in stressed basins near data centers</t>
  </si>
  <si>
    <t xml:space="preserve">Rolling, watershed-specific</t>
  </si>
  <si>
    <t xml:space="preserve">Revenue/offtake channel, not grants: programs pay third parties to deliver verified replenishment volumes - an HCSP installation converting wastewater to distilled/reclaimed water in a stressed basin near a data center could be contracted as a replenishment project (PPA-like water offtake) or co-funded with the local utility; data-center operators also enter public-private cost-shares with municipalities on water infrastructure.</t>
  </si>
  <si>
    <t xml:space="preserve">https://www.esgdive.com/news/google-commits-to-replenish-more-water-than-it-uses-by-2030/822021/</t>
  </si>
  <si>
    <t xml:space="preserve">G-074</t>
  </si>
  <si>
    <t xml:space="preserve">U.S. Dairy Net Zero Initiative (FFAR/DRI matching grants; on-farm pilots)</t>
  </si>
  <si>
    <t xml:space="preserve">Innovation Center for U.S. Dairy / Newtrient / Dairy Research Institute / FFAR</t>
  </si>
  <si>
    <t xml:space="preserve">$1.5M farm pilots; FFAR $10M matched to $23.2M; Nestle/Starbucks $10M each over 5 yrs</t>
  </si>
  <si>
    <t xml:space="preserve">CAFO manure/wastewater destruction + energy recovery</t>
  </si>
  <si>
    <t xml:space="preserve">Relationship-driven; no open RFP</t>
  </si>
  <si>
    <t xml:space="preserve">Propose HCSP for a Dairy Scale for Good pilot farm or a Newtrient on-farm technology assessment, with FFAR/DRI as the matching-funds vehicle; NZI's stated technology interest (digesters, advanced nutrient recovery) matches manure-valorization SCWO.</t>
  </si>
  <si>
    <t xml:space="preserve">https://www.usdairy.com/sustainability</t>
  </si>
  <si>
    <t xml:space="preserve">G-075</t>
  </si>
  <si>
    <t xml:space="preserve">XPRIZE Water Scarcity ($119M, Mohamed bin Zayed Water Initiative)</t>
  </si>
  <si>
    <t xml:space="preserve">XPRIZE Foundation</t>
  </si>
  <si>
    <t xml:space="preserve">Prize</t>
  </si>
  <si>
    <t xml:space="preserve">$40M grand prize (Track A system-level desalination); $8M Track B materials/methods</t>
  </si>
  <si>
    <t xml:space="preserve">Seawater desalination (not wastewater destruction)</t>
  </si>
  <si>
    <t xml:space="preserve">Registration closed; 37 semifinalists named May 2026; winners 2027-2028</t>
  </si>
  <si>
    <t xml:space="preserve">Closed to new entrants and off-scope (desalination); monitor future Mohamed bin Zayed Water Initiative competitions (e.g. Al Miyah Challenge, AED 8M, agricultural water, open internationally).</t>
  </si>
  <si>
    <t xml:space="preserve">https://www.xprize.org/prizes/water-scarcity</t>
  </si>
  <si>
    <t xml:space="preserve">G-076</t>
  </si>
  <si>
    <t xml:space="preserve">Equity-not-grant channels (Microsoft Climate Innovation Fund; Burnt Island Ventures; S2G/Builders Vision)</t>
  </si>
  <si>
    <t xml:space="preserve">Microsoft CIF / Burnt Island Ventures / S2G</t>
  </si>
  <si>
    <t xml:space="preserve">Microsoft CIF $1B commitment ($806M deployed to 67 investees); BIV Fund II $50M; S2G $2.5B AUM</t>
  </si>
  <si>
    <t xml:space="preserve">Water technology; climate hardware; food/ag</t>
  </si>
  <si>
    <t xml:space="preserve">NOT grant capital: equity and project finance only - relevant if raising; Burnt Island is the most active water-only VC (Xylem anchor LP); Microsoft CIF does not provide grants but funds project finance for data-center co-located deployments; S2G covers food/ag + water.</t>
  </si>
  <si>
    <t xml:space="preserve">https://blogs.microsoft.com/blog/2026/02/18/a-milestone-achievement-in-our-journey-to-carbon-negative/</t>
  </si>
  <si>
    <t xml:space="preserve">G-077</t>
  </si>
  <si>
    <t xml:space="preserve">Major US environmental foundations (Gates WSH; Schmidt/11th Hour; Walton; Moore; Hewlett; Packard; Energy Foundation; Grantham)</t>
  </si>
  <si>
    <t xml:space="preserve">Various</t>
  </si>
  <si>
    <t xml:space="preserve">$50K-$750K typical; Grantham $67M/yr (FY2024); Moore $200M+/yr environment</t>
  </si>
  <si>
    <t xml:space="preserve">Nonprofit grantees only</t>
  </si>
  <si>
    <t xml:space="preserve">LOI/invitation-based; no unsolicited proposals at Moore, Schmidt, Grantham</t>
  </si>
  <si>
    <t xml:space="preserve">A for-profit SCWO company is rarely an eligible grantee - grants go to nonprofits/universities; realistic routes are the intermediaries they capitalize (Elemental, Activate, PRIME) or a watershed-reuse nonprofit partner; Gates WSH matters only for a Global-South fecal-sludge/island variant.</t>
  </si>
  <si>
    <t xml:space="preserve">https://www.insidephilanthropy.com/find-a-grant/grants-m/gordon-and-betty-moore-foundation</t>
  </si>
  <si>
    <t xml:space="preserve">G-078</t>
  </si>
  <si>
    <t xml:space="preserve">Market-access platforms (Isle Utilities TAG; WEF/LIFT; Water Council BREW 2.0)</t>
  </si>
  <si>
    <t xml:space="preserve">Isle Utilities / WEF / The Water Council</t>
  </si>
  <si>
    <t xml:space="preserve">No cash (free platforms); BREW 2.0 includes 1-yr membership + pitch events</t>
  </si>
  <si>
    <t xml:space="preserve">Utility/industrial customer introductions and validation</t>
  </si>
  <si>
    <t xml:space="preserve">Rolling TAG scouting; BREW 2.0 2027 applications expected fall 2026</t>
  </si>
  <si>
    <t xml:space="preserve">No direct funding but high-value validation: TAG pitches vetted technologies (TRL 7+) to curated utility groups (e.g. Western US Wastewater TAG at OC San); LIFT evaluations de-risk utility procurement; PFAS-destruction hardware precedent (Aquagga is a BREW alumnus).</t>
  </si>
  <si>
    <t xml:space="preserve">https://isleutilities.com/technology-approval-group-tag/</t>
  </si>
  <si>
    <t xml:space="preserve">G-079</t>
  </si>
  <si>
    <t xml:space="preserve">India distillery ZLD interest subvention (ethanol scheme)</t>
  </si>
  <si>
    <t xml:space="preserve">Government of India (access via Indian distilleries)</t>
  </si>
  <si>
    <t xml:space="preserve">~6% p.a. interest subvention (or 50% of bank rate) for 5 yrs on loans incl. CPCB-approved ZLD methods</t>
  </si>
  <si>
    <t xml:space="preserve">Distillery zero-liquid-discharge (India)</t>
  </si>
  <si>
    <t xml:space="preserve">Indian government scheme; distillery must supply &gt;=75% of ethanol output to OMCs and hold CPCB ZLD certificate</t>
  </si>
  <si>
    <t xml:space="preserve">Not accessible to a US vendor directly - the subvention lowers an Indian distillery customer's cost of capital for ZLD, making an HCSP sale (or Indian JV with a local distillery/EPC) more financeable; a local partner is effectively mandatory; Imagine H2O Asia is the adjacent accessible route.</t>
  </si>
  <si>
    <t xml:space="preserve">https://apps.fas.usda.gov/newgainapi/api/Report/DownloadReportByFileName?fileName=Indian%20Government%20Approves%20Interest%20Subvention%20Scheme%20for%20Ethanol%20Distilleries_New%20Delhi_India_01-03-2021</t>
  </si>
  <si>
    <t xml:space="preserve">G-080</t>
  </si>
  <si>
    <t xml:space="preserve">Breakthrough Energy (Fellows grant; Catalyst FOAK finance; BEV equity)</t>
  </si>
  <si>
    <t xml:space="preserve">Breakthrough Energy</t>
  </si>
  <si>
    <t xml:space="preserve">Innovator Fellowship up to ~$500K/1 yr (pre-venture, &lt;$2M raised); Catalyst first-of-a-kind project scale</t>
  </si>
  <si>
    <t xml:space="preserve">Pre-venture climate tech; first commercial plants</t>
  </si>
  <si>
    <t xml:space="preserve">Annual Fellows cycle (2026 cohort started Sept 2026)</t>
  </si>
  <si>
    <t xml:space="preserve">Mixed instruments: Fellows = grant but only for pre-venture entities; Catalyst relevant later for a first commercial HCSP plant; BEV is equity, not grant; Breakthrough Energy Discovery also anchor-funds Elemental's DCII.</t>
  </si>
  <si>
    <t xml:space="preserve">https://breakthroughenergy.org/</t>
  </si>
  <si>
    <t xml:space="preserve">Rank</t>
  </si>
  <si>
    <t xml:space="preserve">Award size</t>
  </si>
  <si>
    <t xml:space="preserve">Match score</t>
  </si>
  <si>
    <t xml:space="preserve">Why now</t>
  </si>
  <si>
    <t xml:space="preserve">Urgency: proposals due 4:00 p.m. MT Sep 29 2026. The single best direct-apply federal grant - for-profits eligible, produced water and municipal wastewater are named source waters, pilot-scale up to $800K.</t>
  </si>
  <si>
    <t xml:space="preserve">Urgency: BAA N0001425SB001 closes Sep 30 2026. Submit a white paper now (strongly encouraged) on waste-heat SCWO water production; for-profits eligible.</t>
  </si>
  <si>
    <t xml:space="preserve">ESTCP FY28 solicitation expected ~Dec 2026-Mar 2027; FY27 topics already named Water Resilience and Energy Resilience - direct HCSP fits; SCWO precedent ER23-7939; line up a DoD installation demo host now.</t>
  </si>
  <si>
    <t xml:space="preserve">SERDP FY28 Core BAA expected ~Oct-Nov 2026; direct SCWO PFAS-destruction precedents (ER20-5350, ER22-7338); pre-position for a FY28 Environmental Restoration SON.</t>
  </si>
  <si>
    <t xml:space="preserve">NJ $795M PFAS Abatement Fund approved Aug 7 2026 - program design forming NOW; &gt;=$150M routed to POTWs via the Water Bank; engage NJDEP/Water Bank while project pipelines form.</t>
  </si>
  <si>
    <t xml:space="preserve">WI Acts 200/201 (&gt;$130M, signed Jun 2026) include grants to municipalities AND privately owned landfills for on-site leachate/biosolids treatment - launching summer-fall 2026; most direct state door for a leachate vendor.</t>
  </si>
  <si>
    <t xml:space="preserve">NYSERDA waste-to-low-carbon-fuels: $8M round announced Jul 21 2026; wastewater sludge is an explicitly eligible feedstock; private technology providers can lead; &gt;=50% cost share required.</t>
  </si>
  <si>
    <t xml:space="preserve">AZ WIFA In-State Water Augmentation cycle OPEN since Nov 17 2025; private developers can propose within project teams (wastewater-to-drinking-water precedent already selected into Phase-2 funding).</t>
  </si>
  <si>
    <t xml:space="preserve">PA PENNVEST: rare DIRECT private eligibility (owner/operators), rolling with quarterly board cutoffs; reuse/energy-efficiency/emerging-contaminants tracks all fit.</t>
  </si>
  <si>
    <t xml:space="preserve">Imagine H2O 2027 accelerator applications open Nov-Dec 2026 - zero equity, ~$25K award, and the 2026 cohort confirmed PFAS/sludge-destruction startups in-scope.</t>
  </si>
  <si>
    <t xml:space="preserve">Elemental DCII invests $500K-$5M per project (up to 10 startups) through 2027 with Amazon/Google/Meta/Microsoft as collaborators - flagship vehicle for the data-center water+cooling+power story.</t>
  </si>
  <si>
    <t xml:space="preserve">EC-SDC final $1B BIL year (May 2026 allotments) - last call to ride BIL emerging-contaminant money via small/disadvantaged water-system partners before the FY27 cliff.</t>
  </si>
  <si>
    <t xml:space="preserve">WIFIA: ~$11B credit capacity, rolling LOIs, direct corporate borrowers allowed with public sponsorship, FY26-27 fee waivers - the deployment-scale financing vehicle.</t>
  </si>
  <si>
    <t xml:space="preserve">FL CWSRF/BIL-EC: the proven Orlando template (utility grant -&gt; demo -&gt; 5-yr license -&gt; $3-5M PFAS hub); replicate now with FL utilities via rolling SRF.</t>
  </si>
  <si>
    <t xml:space="preserve">DoW SBIR FY27 Release 1 pre-release expected ~Oct 2026; quarterly cadence restarted post-reauthorization; watch NAVFAC water/PFAS topics - N254-123/N233-117 lineage gives a Phase II/D2P2 entry.</t>
  </si>
  <si>
    <t xml:space="preserve">HCSP Grants Database - Dashboard</t>
  </si>
  <si>
    <t xml:space="preserve">All counts computed live from the Register sheet (COUNTIF/COUNTIFS). Award-pool figures are sourced external data (see Source column).</t>
  </si>
  <si>
    <t xml:space="preserve">Programs by Level</t>
  </si>
  <si>
    <t xml:space="preserve">Category</t>
  </si>
  <si>
    <t xml:space="preserve">Count</t>
  </si>
  <si>
    <t xml:space="preserve">TOTAL</t>
  </si>
  <si>
    <t xml:space="preserve">Programs by 2026 Status</t>
  </si>
  <si>
    <t xml:space="preserve">Programs by Match score</t>
  </si>
  <si>
    <t xml:space="preserve">Priority cross-cut</t>
  </si>
  <si>
    <t xml:space="preserve">Cut</t>
  </si>
  <si>
    <t xml:space="preserve">Active/open now AND match &gt;= 4</t>
  </si>
  <si>
    <t xml:space="preserve">Direct access (Yes) AND match &gt;= 4</t>
  </si>
  <si>
    <t xml:space="preserve">DEAD programs (kept for completeness)</t>
  </si>
  <si>
    <t xml:space="preserve">Known addressable award pools (US$, where disclosed - not exhaustive; includes loans &amp; settlement funds)</t>
  </si>
  <si>
    <t xml:space="preserve">Pool</t>
  </si>
  <si>
    <t xml:space="preserve">Amount (US$)</t>
  </si>
  <si>
    <t xml:space="preserve">Mechanism</t>
  </si>
  <si>
    <t xml:space="preserve">Source (research file)</t>
  </si>
  <si>
    <t xml:space="preserve">DWSRF Emerging Contaminants (BIL, FY22-26)</t>
  </si>
  <si>
    <t xml:space="preserve">Grant/principal forgiveness via states</t>
  </si>
  <si>
    <t xml:space="preserve">grants_fed_water.md / grants_pfas.md</t>
  </si>
  <si>
    <t xml:space="preserve">CWSRF Emerging Contaminants (BIL, FY22-26)</t>
  </si>
  <si>
    <t xml:space="preserve">100% forgivable; incl. landfill leachate</t>
  </si>
  <si>
    <t xml:space="preserve">grants_pfas.md</t>
  </si>
  <si>
    <t xml:space="preserve">EC-SDC grants (total allotted FY22-26)</t>
  </si>
  <si>
    <t xml:space="preserve">Small/disadvantaged communities via states</t>
  </si>
  <si>
    <t xml:space="preserve">grants_fed_water.md</t>
  </si>
  <si>
    <t xml:space="preserve">WIFIA credit capacity available (mid-2026)</t>
  </si>
  <si>
    <t xml:space="preserve">Loans (49% of project costs)</t>
  </si>
  <si>
    <t xml:space="preserve">WaterSMART Title XVI 2026 NOFO (R26AS00079)</t>
  </si>
  <si>
    <t xml:space="preserve">Grants, 25% cost share</t>
  </si>
  <si>
    <t xml:space="preserve">DWPR FY26 NOFO</t>
  </si>
  <si>
    <t xml:space="preserve">Grants (lab &lt;=$300K / pilot &lt;=$800K)</t>
  </si>
  <si>
    <t xml:space="preserve">SERDP FY27 budget</t>
  </si>
  <si>
    <t xml:space="preserve">Applied research grants</t>
  </si>
  <si>
    <t xml:space="preserve">grants_defense.md</t>
  </si>
  <si>
    <t xml:space="preserve">ESTCP FY27 budget</t>
  </si>
  <si>
    <t xml:space="preserve">Demonstration/validation</t>
  </si>
  <si>
    <t xml:space="preserve">FEMA BRIC combined FY24-25 NOFO</t>
  </si>
  <si>
    <t xml:space="preserve">Sub-grants via states/locals</t>
  </si>
  <si>
    <t xml:space="preserve">NJ PFAS Abatement Fund (DuPont/3M settlements)</t>
  </si>
  <si>
    <t xml:space="preserve">Settlement fund -&gt; NJ Water Bank/POTWs</t>
  </si>
  <si>
    <t xml:space="preserve">grants_state.md / grants_pfas.md</t>
  </si>
  <si>
    <t xml:space="preserve">3M PWS settlement (MDL 2873, low end)</t>
  </si>
  <si>
    <t xml:space="preserve">Settlement fund -&gt; public water systems</t>
  </si>
  <si>
    <t xml:space="preserve">DuPont/Chemours/Corteva + Tyco + BASF PWS settlements</t>
  </si>
  <si>
    <t xml:space="preserve">Settlement funds -&gt; public water systems</t>
  </si>
  <si>
    <t xml:space="preserve">WI Acts 200/201 PFAS programs</t>
  </si>
  <si>
    <t xml:space="preserve">State grants (incl. private landfills)</t>
  </si>
  <si>
    <t xml:space="preserve">NC DEQ state PFAS funding ($55M + $35M Cape Fear)</t>
  </si>
  <si>
    <t xml:space="preserve">State grants + SRF-EC</t>
  </si>
  <si>
    <t xml:space="preserve">NY EFC WIIA (next 3 state fiscal years)</t>
  </si>
  <si>
    <t xml:space="preserve">Municipal grants</t>
  </si>
  <si>
    <t xml:space="preserve">grants_state.md</t>
  </si>
  <si>
    <t xml:space="preserve">NYSERDA waste-to-fuels + alt-fuels rounds</t>
  </si>
  <si>
    <t xml:space="preserve">Grants (&gt;=50% cost share)</t>
  </si>
  <si>
    <t xml:space="preserve">AZ WIFA LTWAF fund balance</t>
  </si>
  <si>
    <t xml:space="preserve">Augmentation financing</t>
  </si>
  <si>
    <t xml:space="preserve">TX New Water Supply for Texas Fund (initial; Prop 4 adds up to $20B 2027-47)</t>
  </si>
  <si>
    <t xml:space="preserve">Via project sponsors</t>
  </si>
  <si>
    <t xml:space="preserve">CA DWR Prop 4 SGMA solicitation pot</t>
  </si>
  <si>
    <t xml:space="preserve">Grants via GSAs</t>
  </si>
  <si>
    <t xml:space="preserve">Elemental Impact DCII (10 projects x up to $5M)</t>
  </si>
  <si>
    <t xml:space="preserve">Catalytic investment</t>
  </si>
  <si>
    <t xml:space="preserve">grants_private.md</t>
  </si>
  <si>
    <t xml:space="preserve">PRIME Coalition Prime Impact Fund</t>
  </si>
  <si>
    <t xml:space="preserve">Recoverable grants/PRIs</t>
  </si>
  <si>
    <t xml:space="preserve">TOTAL known pools</t>
  </si>
  <si>
    <t xml:space="preserve">Legend &amp; Methodology</t>
  </si>
  <si>
    <t xml:space="preserve">SECTION</t>
  </si>
  <si>
    <t xml:space="preserve">TERM</t>
  </si>
  <si>
    <t xml:space="preserve">DEFINITION</t>
  </si>
  <si>
    <t xml:space="preserve">US federal agency program (incl. non-US national schemes where noted).</t>
  </si>
  <si>
    <t xml:space="preserve">US state agency / state financing authority program.</t>
  </si>
  <si>
    <t xml:space="preserve">Utility- or municipally-run innovation/pilot program.</t>
  </si>
  <si>
    <t xml:space="preserve">Philanthropic, settlement-administered, or nonprofit-intermediary program.</t>
  </si>
  <si>
    <t xml:space="preserve">Corporate-funded investment, offtake, or industry-consortium program.</t>
  </si>
  <si>
    <t xml:space="preserve">Non-repayable award (incl. cooperative agreements, contracts-as-grants such as SBIR, and tax credits flagged in notes).</t>
  </si>
  <si>
    <t xml:space="preserve">Funds flow to an eligible public/utility/nonprofit applicant; HCSP participates as technology vendor or subrecipient.</t>
  </si>
  <si>
    <t xml:space="preserve">Below-market debt financing (e.g. WIFIA, SRF, PENNVEST, SWIFT).</t>
  </si>
  <si>
    <t xml:space="preserve">Federal guarantee of commercial debt (REAP loans, B&amp;I, Title 17).</t>
  </si>
  <si>
    <t xml:space="preserve">Competitive prize award.</t>
  </si>
  <si>
    <t xml:space="preserve">Cohort program; may include small award; zero- or low-cost.</t>
  </si>
  <si>
    <t xml:space="preserve">Non-dilutive funding repayable on commercial success.</t>
  </si>
  <si>
    <t xml:space="preserve">Investment capital (equity/debt/hybrid) - included for completeness; NOT grant funding.</t>
  </si>
  <si>
    <t xml:space="preserve">Court-approved settlement money routed through claims administrators / state structures.</t>
  </si>
  <si>
    <t xml:space="preserve">Program funded and accepting/continuously open or in regular cycles as of September 2026.</t>
  </si>
  <si>
    <t xml:space="preserve">A specific solicitation is open NOW with a near-term hard deadline - act immediately.</t>
  </si>
  <si>
    <t xml:space="preserve">Program exists but is not accepting applications (policy hold; e.g. REAP grants).</t>
  </si>
  <si>
    <t xml:space="preserve">Between cycles, forming, or expected to (re)open - position now, apply later.</t>
  </si>
  <si>
    <t xml:space="preserve">Terminated, rescinded, fully allocated, or closed to new entrants. Kept in register for completeness - do not pursue.</t>
  </si>
  <si>
    <t xml:space="preserve">5</t>
  </si>
  <si>
    <t xml:space="preserve">Direct company access + high HCSP output/vertical fit + active/open now.</t>
  </si>
  <si>
    <t xml:space="preserve">4</t>
  </si>
  <si>
    <t xml:space="preserve">Strong fit; access direct or via a well-proven partner route; active or opening within ~6 months.</t>
  </si>
  <si>
    <t xml:space="preserve">3</t>
  </si>
  <si>
    <t xml:space="preserve">Good thematic fit but indirect access, scale constraints, or timing uncertainty.</t>
  </si>
  <si>
    <t xml:space="preserve">2</t>
  </si>
  <si>
    <t xml:space="preserve">Partial fit, uncertain eligibility, or intermittent/quiet program.</t>
  </si>
  <si>
    <t xml:space="preserve">1</t>
  </si>
  <si>
    <t xml:space="preserve">Poor fit, wrong applicant type, or dead program.</t>
  </si>
  <si>
    <t xml:space="preserve">HCSP (US small business) can apply/borrow/receive directly.</t>
  </si>
  <si>
    <t xml:space="preserve">Eligible applicant is a utility/municipality/POTW/water system; HCSP is the funded technology vendor.</t>
  </si>
  <si>
    <t xml:space="preserve">Eligible applicant is another entity (university, GSA, nonprofit, rural community, landfill consortium member, Indian distillery, etc.).</t>
  </si>
  <si>
    <t xml:space="preserve">No practical access path.</t>
  </si>
  <si>
    <t xml:space="preserve">Methodology</t>
  </si>
  <si>
    <t xml:space="preserve">Sources</t>
  </si>
  <si>
    <t xml:space="preserve">Every row transcribed from six September-2026 research reports (grants_fed_water, grants_fed_energy, grants_defense, grants_state, grants_pfas, grants_private); each row carries its primary Source URL. Status reflects September 2026 and is fast-moving - re-verify before applying.</t>
  </si>
  <si>
    <t xml:space="preserve">Known gaps</t>
  </si>
  <si>
    <t xml:space="preserve">Maine $50M bond vote outcome unconfirmed; CA has no cannabis-wastewater grant program; HI has no state innovation grant beyond SRF/NELHA; OH/WV have no distinct produced-water grant programs; Brewers Association/DISCUS have no grant programs; Greentown ACCEL possibly dormant; aggregator-sourced items should be confirmed on official sites.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</si>
</sst>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mbria"/>
      <family val="0"/>
      <charset val="1"/>
    </font>
    <font>
      <sz val="10"/>
      <name val="Cambria"/>
      <family val="0"/>
      <charset val="1"/>
    </font>
    <font>
      <sz val="9"/>
      <name val="Cambria"/>
      <family val="0"/>
      <charset val="1"/>
    </font>
    <font>
      <sz val="9"/>
      <color rgb="FF1155CC"/>
      <name val="Cambria"/>
      <family val="0"/>
      <charset val="1"/>
    </font>
    <font>
      <sz val="10"/>
      <color rgb="FF000000"/>
      <name val="Cambria"/>
      <family val="0"/>
      <charset val="1"/>
    </font>
    <font>
      <sz val="9"/>
      <color rgb="FF000000"/>
      <name val="Cambria"/>
      <family val="0"/>
      <charset val="1"/>
    </font>
    <font>
      <b val="true"/>
      <sz val="14"/>
      <color rgb="FF1F4E5F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1"/>
      <color rgb="FF1F4E5F"/>
      <name val="Cambria"/>
      <family val="0"/>
      <charset val="1"/>
    </font>
    <font>
      <b val="true"/>
      <sz val="9"/>
      <name val="Cambria"/>
      <family val="0"/>
      <charset val="1"/>
    </font>
    <font>
      <b val="true"/>
      <sz val="11"/>
      <name val="Cambria"/>
      <family val="0"/>
      <charset val="1"/>
    </font>
    <font>
      <sz val="8"/>
      <color rgb="FF666666"/>
      <name val="Cambria"/>
      <family val="0"/>
      <charset val="1"/>
    </font>
    <font>
      <b val="true"/>
      <sz val="9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2F4E6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2">
    <dxf>
      <fill>
        <patternFill patternType="solid">
          <fgColor rgb="FF1F4E5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D9E8D4"/>
        </patternFill>
      </fill>
    </dxf>
    <dxf>
      <fill>
        <patternFill patternType="solid">
          <fgColor rgb="FFDAE3EF"/>
        </patternFill>
      </fill>
    </dxf>
    <dxf>
      <fill>
        <patternFill patternType="solid">
          <fgColor rgb="FFDDDDDD"/>
        </patternFill>
      </fill>
    </dxf>
    <dxf>
      <fill>
        <patternFill patternType="solid">
          <fgColor rgb="FFF0DCCB"/>
        </patternFill>
      </fill>
    </dxf>
    <dxf>
      <fill>
        <patternFill patternType="solid">
          <fgColor rgb="FFF3E3BE"/>
        </patternFill>
      </fill>
    </dxf>
    <dxf>
      <fill>
        <patternFill patternType="solid">
          <fgColor rgb="FF2F4E6E"/>
        </patternFill>
      </fill>
    </dxf>
    <dxf>
      <fill>
        <patternFill patternType="solid">
          <fgColor rgb="FF2F5B3A"/>
        </patternFill>
      </fill>
    </dxf>
    <dxf>
      <fill>
        <patternFill patternType="solid">
          <fgColor rgb="FF6E6E6E"/>
        </patternFill>
      </fill>
    </dxf>
    <dxf>
      <fill>
        <patternFill patternType="solid">
          <fgColor rgb="FF7A5200"/>
        </patternFill>
      </fill>
    </dxf>
    <dxf>
      <fill>
        <patternFill patternType="solid">
          <fgColor rgb="FF8A4B1F"/>
        </patternFill>
      </fill>
    </dxf>
    <dxf>
      <fill>
        <patternFill patternType="solid">
          <fgColor rgb="FF2E5E4E"/>
        </patternFill>
      </fill>
    </dxf>
    <dxf>
      <fill>
        <patternFill patternType="solid">
          <fgColor rgb="FF6FA08A"/>
        </patternFill>
      </fill>
    </dxf>
    <dxf>
      <fill>
        <patternFill patternType="solid">
          <fgColor rgb="FFA9C9BB"/>
        </patternFill>
      </fill>
    </dxf>
    <dxf>
      <fill>
        <patternFill patternType="solid">
          <fgColor rgb="FFD4E4DC"/>
        </patternFill>
      </fill>
    </dxf>
    <dxf>
      <fill>
        <patternFill patternType="solid">
          <fgColor rgb="FFEDF3F0"/>
        </patternFill>
      </fill>
    </dxf>
    <dxf>
      <fill>
        <patternFill patternType="solid">
          <fgColor rgb="FF1F3A30"/>
        </patternFill>
      </fill>
    </dxf>
    <dxf>
      <fill>
        <patternFill patternType="solid">
          <fgColor rgb="FF33544A"/>
        </patternFill>
      </fill>
    </dxf>
    <dxf>
      <fill>
        <patternFill patternType="solid">
          <fgColor rgb="FF5A756B"/>
        </patternFill>
      </fill>
    </dxf>
    <dxf>
      <fill>
        <patternFill patternType="solid">
          <fgColor rgb="FF1155CC"/>
        </patternFill>
      </fill>
    </dxf>
    <dxf>
      <font>
        <b val="1"/>
        <color rgb="FF2F5B3A"/>
      </font>
      <fill>
        <patternFill>
          <bgColor rgb="FFD9E8D4"/>
        </patternFill>
      </fill>
    </dxf>
    <dxf>
      <font>
        <b val="1"/>
        <color rgb="FF7A5200"/>
      </font>
      <fill>
        <patternFill>
          <bgColor rgb="FFF3E3BE"/>
        </patternFill>
      </fill>
    </dxf>
    <dxf>
      <font>
        <b val="1"/>
        <color rgb="FF8A4B1F"/>
      </font>
      <fill>
        <patternFill>
          <bgColor rgb="FFF0DCCB"/>
        </patternFill>
      </fill>
    </dxf>
    <dxf>
      <font>
        <b val="1"/>
        <color rgb="FF2F4E6E"/>
      </font>
      <fill>
        <patternFill>
          <bgColor rgb="FFDAE3EF"/>
        </patternFill>
      </fill>
    </dxf>
    <dxf>
      <font>
        <b val="1"/>
        <color rgb="FF6E6E6E"/>
      </font>
      <fill>
        <patternFill>
          <bgColor rgb="FFDDDDDD"/>
        </patternFill>
      </fill>
    </dxf>
    <dxf>
      <font>
        <b val="1"/>
        <color rgb="FFFFFFFF"/>
      </font>
      <fill>
        <patternFill>
          <bgColor rgb="FF2E5E4E"/>
        </patternFill>
      </fill>
    </dxf>
    <dxf>
      <font>
        <b val="1"/>
        <color rgb="FFFFFFFF"/>
      </font>
      <fill>
        <patternFill>
          <bgColor rgb="FF6FA08A"/>
        </patternFill>
      </fill>
    </dxf>
    <dxf>
      <font>
        <b val="1"/>
        <color rgb="FF1F3A30"/>
      </font>
      <fill>
        <patternFill>
          <bgColor rgb="FFA9C9BB"/>
        </patternFill>
      </fill>
    </dxf>
    <dxf>
      <font>
        <b val="1"/>
        <color rgb="FF33544A"/>
      </font>
      <fill>
        <patternFill>
          <bgColor rgb="FFD4E4DC"/>
        </patternFill>
      </fill>
    </dxf>
    <dxf>
      <font>
        <b val="1"/>
        <color rgb="FF5A756B"/>
      </font>
      <fill>
        <patternFill>
          <bgColor rgb="FFEDF3F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F5B3A"/>
      <rgbColor rgb="FF000080"/>
      <rgbColor rgb="FF7A5200"/>
      <rgbColor rgb="FF800080"/>
      <rgbColor rgb="FF2E5E4E"/>
      <rgbColor rgb="FFBFBFBF"/>
      <rgbColor rgb="FF5A756B"/>
      <rgbColor rgb="FF9999FF"/>
      <rgbColor rgb="FF666666"/>
      <rgbColor rgb="FFEDF3F0"/>
      <rgbColor rgb="FFDAE3EF"/>
      <rgbColor rgb="FF660066"/>
      <rgbColor rgb="FFFF8080"/>
      <rgbColor rgb="FF1155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4E4DC"/>
      <rgbColor rgb="FFD9E8D4"/>
      <rgbColor rgb="FFF3E3BE"/>
      <rgbColor rgb="FFA9C9BB"/>
      <rgbColor rgb="FFFF99CC"/>
      <rgbColor rgb="FFCC99FF"/>
      <rgbColor rgb="FFF0DCCB"/>
      <rgbColor rgb="FF3366FF"/>
      <rgbColor rgb="FF33CCCC"/>
      <rgbColor rgb="FF99CC00"/>
      <rgbColor rgb="FFFFCC00"/>
      <rgbColor rgb="FFFF9900"/>
      <rgbColor rgb="FFFF6600"/>
      <rgbColor rgb="FF6E6E6E"/>
      <rgbColor rgb="FF6FA08A"/>
      <rgbColor rgb="FF1F4E5F"/>
      <rgbColor rgb="FF339966"/>
      <rgbColor rgb="FF003300"/>
      <rgbColor rgb="FF33544A"/>
      <rgbColor rgb="FF8A4B1F"/>
      <rgbColor rgb="FF993366"/>
      <rgbColor rgb="FF2F4E6E"/>
      <rgbColor rgb="FF1F3A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60" workbookViewId="0">
      <pane xSplit="2" ySplit="1" topLeftCell="C2" activePane="bottomRight" state="frozen"/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7"/>
    <col collapsed="false" customWidth="true" hidden="false" outlineLevel="0" max="6" min="6" style="0" width="34"/>
    <col collapsed="false" customWidth="true" hidden="false" outlineLevel="0" max="7" min="7" style="0" width="18"/>
    <col collapsed="false" customWidth="true" hidden="false" outlineLevel="0" max="8" min="8" style="0" width="24"/>
    <col collapsed="false" customWidth="true" hidden="false" outlineLevel="0" max="9" min="9" style="0" width="32"/>
    <col collapsed="false" customWidth="true" hidden="false" outlineLevel="0" max="10" min="10" style="0" width="15"/>
    <col collapsed="false" customWidth="true" hidden="false" outlineLevel="0" max="11" min="11" style="0" width="32"/>
    <col collapsed="false" customWidth="true" hidden="false" outlineLevel="0" max="12" min="12" style="0" width="12"/>
    <col collapsed="false" customWidth="true" hidden="false" outlineLevel="0" max="13" min="13" style="0" width="70"/>
    <col collapsed="false" customWidth="true" hidden="false" outlineLevel="0" max="14" min="14" style="0" width="4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67.5" hidden="false" customHeight="true" outlineLevel="0" collapsed="false">
      <c r="A2" s="2" t="s">
        <v>14</v>
      </c>
      <c r="B2" s="3" t="s">
        <v>15</v>
      </c>
      <c r="C2" s="2" t="s">
        <v>16</v>
      </c>
      <c r="D2" s="3" t="s">
        <v>17</v>
      </c>
      <c r="E2" s="2" t="s">
        <v>18</v>
      </c>
      <c r="F2" s="3" t="s">
        <v>19</v>
      </c>
      <c r="G2" s="2" t="s">
        <v>20</v>
      </c>
      <c r="H2" s="4" t="s">
        <v>21</v>
      </c>
      <c r="I2" s="3" t="s">
        <v>22</v>
      </c>
      <c r="J2" s="2" t="s">
        <v>23</v>
      </c>
      <c r="K2" s="3" t="s">
        <v>24</v>
      </c>
      <c r="L2" s="2" t="n">
        <v>4</v>
      </c>
      <c r="M2" s="5" t="s">
        <v>25</v>
      </c>
      <c r="N2" s="6" t="s">
        <v>26</v>
      </c>
    </row>
    <row r="3" customFormat="false" ht="67.5" hidden="false" customHeight="true" outlineLevel="0" collapsed="false">
      <c r="A3" s="2" t="s">
        <v>27</v>
      </c>
      <c r="B3" s="3" t="s">
        <v>28</v>
      </c>
      <c r="C3" s="2" t="s">
        <v>16</v>
      </c>
      <c r="D3" s="3" t="s">
        <v>17</v>
      </c>
      <c r="E3" s="2" t="s">
        <v>18</v>
      </c>
      <c r="F3" s="3" t="s">
        <v>29</v>
      </c>
      <c r="G3" s="2" t="s">
        <v>20</v>
      </c>
      <c r="H3" s="4" t="s">
        <v>30</v>
      </c>
      <c r="I3" s="3" t="s">
        <v>31</v>
      </c>
      <c r="J3" s="2" t="s">
        <v>23</v>
      </c>
      <c r="K3" s="3" t="s">
        <v>32</v>
      </c>
      <c r="L3" s="2" t="n">
        <v>4</v>
      </c>
      <c r="M3" s="5" t="s">
        <v>33</v>
      </c>
      <c r="N3" s="6" t="s">
        <v>34</v>
      </c>
    </row>
    <row r="4" customFormat="false" ht="67.5" hidden="false" customHeight="true" outlineLevel="0" collapsed="false">
      <c r="A4" s="2" t="s">
        <v>35</v>
      </c>
      <c r="B4" s="3" t="s">
        <v>36</v>
      </c>
      <c r="C4" s="2" t="s">
        <v>16</v>
      </c>
      <c r="D4" s="3" t="s">
        <v>37</v>
      </c>
      <c r="E4" s="2" t="s">
        <v>18</v>
      </c>
      <c r="F4" s="3" t="s">
        <v>38</v>
      </c>
      <c r="G4" s="2" t="s">
        <v>20</v>
      </c>
      <c r="H4" s="4" t="s">
        <v>39</v>
      </c>
      <c r="I4" s="3" t="s">
        <v>40</v>
      </c>
      <c r="J4" s="2" t="s">
        <v>23</v>
      </c>
      <c r="K4" s="3" t="s">
        <v>41</v>
      </c>
      <c r="L4" s="2" t="n">
        <v>4</v>
      </c>
      <c r="M4" s="5" t="s">
        <v>42</v>
      </c>
      <c r="N4" s="6" t="s">
        <v>43</v>
      </c>
    </row>
    <row r="5" customFormat="false" ht="67.5" hidden="false" customHeight="true" outlineLevel="0" collapsed="false">
      <c r="A5" s="2" t="s">
        <v>44</v>
      </c>
      <c r="B5" s="3" t="s">
        <v>45</v>
      </c>
      <c r="C5" s="2" t="s">
        <v>16</v>
      </c>
      <c r="D5" s="3" t="s">
        <v>46</v>
      </c>
      <c r="E5" s="2" t="s">
        <v>47</v>
      </c>
      <c r="F5" s="3" t="s">
        <v>48</v>
      </c>
      <c r="G5" s="2" t="s">
        <v>49</v>
      </c>
      <c r="H5" s="4" t="s">
        <v>21</v>
      </c>
      <c r="I5" s="3" t="s">
        <v>50</v>
      </c>
      <c r="J5" s="2" t="s">
        <v>23</v>
      </c>
      <c r="K5" s="3" t="s">
        <v>51</v>
      </c>
      <c r="L5" s="2" t="n">
        <v>5</v>
      </c>
      <c r="M5" s="5" t="s">
        <v>52</v>
      </c>
      <c r="N5" s="6" t="s">
        <v>53</v>
      </c>
    </row>
    <row r="6" customFormat="false" ht="67.5" hidden="false" customHeight="true" outlineLevel="0" collapsed="false">
      <c r="A6" s="2" t="s">
        <v>54</v>
      </c>
      <c r="B6" s="3" t="s">
        <v>55</v>
      </c>
      <c r="C6" s="2" t="s">
        <v>16</v>
      </c>
      <c r="D6" s="3" t="s">
        <v>56</v>
      </c>
      <c r="E6" s="2" t="s">
        <v>57</v>
      </c>
      <c r="F6" s="3" t="s">
        <v>58</v>
      </c>
      <c r="G6" s="2" t="s">
        <v>20</v>
      </c>
      <c r="H6" s="4" t="s">
        <v>59</v>
      </c>
      <c r="I6" s="3" t="s">
        <v>60</v>
      </c>
      <c r="J6" s="2" t="s">
        <v>23</v>
      </c>
      <c r="K6" s="3" t="s">
        <v>61</v>
      </c>
      <c r="L6" s="2" t="n">
        <v>3</v>
      </c>
      <c r="M6" s="5" t="s">
        <v>62</v>
      </c>
      <c r="N6" s="6" t="s">
        <v>63</v>
      </c>
    </row>
    <row r="7" customFormat="false" ht="67.5" hidden="false" customHeight="true" outlineLevel="0" collapsed="false">
      <c r="A7" s="2" t="s">
        <v>64</v>
      </c>
      <c r="B7" s="3" t="s">
        <v>65</v>
      </c>
      <c r="C7" s="2" t="s">
        <v>16</v>
      </c>
      <c r="D7" s="3" t="s">
        <v>56</v>
      </c>
      <c r="E7" s="2" t="s">
        <v>57</v>
      </c>
      <c r="F7" s="3" t="s">
        <v>66</v>
      </c>
      <c r="G7" s="2" t="s">
        <v>20</v>
      </c>
      <c r="H7" s="4" t="s">
        <v>67</v>
      </c>
      <c r="I7" s="3" t="s">
        <v>68</v>
      </c>
      <c r="J7" s="2" t="s">
        <v>23</v>
      </c>
      <c r="K7" s="3" t="s">
        <v>69</v>
      </c>
      <c r="L7" s="2" t="n">
        <v>3</v>
      </c>
      <c r="M7" s="5" t="s">
        <v>70</v>
      </c>
      <c r="N7" s="6" t="s">
        <v>71</v>
      </c>
    </row>
    <row r="8" customFormat="false" ht="67.5" hidden="false" customHeight="true" outlineLevel="0" collapsed="false">
      <c r="A8" s="2" t="s">
        <v>72</v>
      </c>
      <c r="B8" s="3" t="s">
        <v>73</v>
      </c>
      <c r="C8" s="2" t="s">
        <v>16</v>
      </c>
      <c r="D8" s="3" t="s">
        <v>56</v>
      </c>
      <c r="E8" s="2" t="s">
        <v>57</v>
      </c>
      <c r="F8" s="3" t="s">
        <v>74</v>
      </c>
      <c r="G8" s="2" t="s">
        <v>20</v>
      </c>
      <c r="H8" s="4" t="s">
        <v>59</v>
      </c>
      <c r="I8" s="3" t="s">
        <v>75</v>
      </c>
      <c r="J8" s="2" t="s">
        <v>76</v>
      </c>
      <c r="K8" s="3" t="s">
        <v>77</v>
      </c>
      <c r="L8" s="2" t="n">
        <v>2</v>
      </c>
      <c r="M8" s="5" t="s">
        <v>78</v>
      </c>
      <c r="N8" s="6" t="s">
        <v>71</v>
      </c>
    </row>
    <row r="9" customFormat="false" ht="67.5" hidden="false" customHeight="true" outlineLevel="0" collapsed="false">
      <c r="A9" s="2" t="s">
        <v>79</v>
      </c>
      <c r="B9" s="3" t="s">
        <v>80</v>
      </c>
      <c r="C9" s="2" t="s">
        <v>16</v>
      </c>
      <c r="D9" s="3" t="s">
        <v>56</v>
      </c>
      <c r="E9" s="2" t="s">
        <v>57</v>
      </c>
      <c r="F9" s="3" t="s">
        <v>81</v>
      </c>
      <c r="G9" s="2" t="s">
        <v>20</v>
      </c>
      <c r="H9" s="4" t="s">
        <v>67</v>
      </c>
      <c r="I9" s="3" t="s">
        <v>82</v>
      </c>
      <c r="J9" s="2" t="s">
        <v>23</v>
      </c>
      <c r="K9" s="3" t="s">
        <v>83</v>
      </c>
      <c r="L9" s="2" t="n">
        <v>2</v>
      </c>
      <c r="M9" s="5" t="s">
        <v>84</v>
      </c>
      <c r="N9" s="6" t="s">
        <v>71</v>
      </c>
    </row>
    <row r="10" customFormat="false" ht="67.5" hidden="false" customHeight="true" outlineLevel="0" collapsed="false">
      <c r="A10" s="2" t="s">
        <v>85</v>
      </c>
      <c r="B10" s="3" t="s">
        <v>86</v>
      </c>
      <c r="C10" s="2" t="s">
        <v>16</v>
      </c>
      <c r="D10" s="3" t="s">
        <v>87</v>
      </c>
      <c r="E10" s="2" t="s">
        <v>57</v>
      </c>
      <c r="F10" s="3" t="s">
        <v>88</v>
      </c>
      <c r="G10" s="2" t="s">
        <v>49</v>
      </c>
      <c r="H10" s="4" t="s">
        <v>30</v>
      </c>
      <c r="I10" s="3" t="s">
        <v>89</v>
      </c>
      <c r="J10" s="2" t="s">
        <v>90</v>
      </c>
      <c r="K10" s="3" t="s">
        <v>91</v>
      </c>
      <c r="L10" s="2" t="n">
        <v>5</v>
      </c>
      <c r="M10" s="5" t="s">
        <v>92</v>
      </c>
      <c r="N10" s="6" t="s">
        <v>93</v>
      </c>
    </row>
    <row r="11" customFormat="false" ht="67.5" hidden="false" customHeight="true" outlineLevel="0" collapsed="false">
      <c r="A11" s="2" t="s">
        <v>94</v>
      </c>
      <c r="B11" s="3" t="s">
        <v>95</v>
      </c>
      <c r="C11" s="2" t="s">
        <v>16</v>
      </c>
      <c r="D11" s="3" t="s">
        <v>46</v>
      </c>
      <c r="E11" s="2" t="s">
        <v>57</v>
      </c>
      <c r="F11" s="3" t="s">
        <v>96</v>
      </c>
      <c r="G11" s="2" t="s">
        <v>49</v>
      </c>
      <c r="H11" s="4" t="s">
        <v>39</v>
      </c>
      <c r="I11" s="3" t="s">
        <v>97</v>
      </c>
      <c r="J11" s="2" t="s">
        <v>76</v>
      </c>
      <c r="K11" s="3" t="s">
        <v>98</v>
      </c>
      <c r="L11" s="2" t="n">
        <v>4</v>
      </c>
      <c r="M11" s="5" t="s">
        <v>99</v>
      </c>
      <c r="N11" s="6" t="s">
        <v>100</v>
      </c>
    </row>
    <row r="12" customFormat="false" ht="67.5" hidden="false" customHeight="true" outlineLevel="0" collapsed="false">
      <c r="A12" s="2" t="s">
        <v>101</v>
      </c>
      <c r="B12" s="3" t="s">
        <v>102</v>
      </c>
      <c r="C12" s="2" t="s">
        <v>16</v>
      </c>
      <c r="D12" s="3" t="s">
        <v>103</v>
      </c>
      <c r="E12" s="2" t="s">
        <v>18</v>
      </c>
      <c r="F12" s="3" t="s">
        <v>104</v>
      </c>
      <c r="G12" s="2" t="s">
        <v>20</v>
      </c>
      <c r="H12" s="4" t="s">
        <v>67</v>
      </c>
      <c r="I12" s="3" t="s">
        <v>105</v>
      </c>
      <c r="J12" s="2" t="s">
        <v>76</v>
      </c>
      <c r="K12" s="3" t="s">
        <v>106</v>
      </c>
      <c r="L12" s="2" t="n">
        <v>3</v>
      </c>
      <c r="M12" s="5" t="s">
        <v>107</v>
      </c>
      <c r="N12" s="6" t="s">
        <v>108</v>
      </c>
    </row>
    <row r="13" customFormat="false" ht="67.5" hidden="false" customHeight="true" outlineLevel="0" collapsed="false">
      <c r="A13" s="2" t="s">
        <v>109</v>
      </c>
      <c r="B13" s="3" t="s">
        <v>110</v>
      </c>
      <c r="C13" s="2" t="s">
        <v>16</v>
      </c>
      <c r="D13" s="3" t="s">
        <v>111</v>
      </c>
      <c r="E13" s="2" t="s">
        <v>18</v>
      </c>
      <c r="F13" s="3" t="s">
        <v>112</v>
      </c>
      <c r="G13" s="2" t="s">
        <v>113</v>
      </c>
      <c r="H13" s="4" t="s">
        <v>39</v>
      </c>
      <c r="I13" s="3" t="s">
        <v>114</v>
      </c>
      <c r="J13" s="2" t="s">
        <v>76</v>
      </c>
      <c r="K13" s="3" t="s">
        <v>115</v>
      </c>
      <c r="L13" s="2" t="n">
        <v>2</v>
      </c>
      <c r="M13" s="5" t="s">
        <v>116</v>
      </c>
      <c r="N13" s="6" t="s">
        <v>117</v>
      </c>
    </row>
    <row r="14" customFormat="false" ht="67.5" hidden="false" customHeight="true" outlineLevel="0" collapsed="false">
      <c r="A14" s="2" t="s">
        <v>118</v>
      </c>
      <c r="B14" s="3" t="s">
        <v>119</v>
      </c>
      <c r="C14" s="2" t="s">
        <v>16</v>
      </c>
      <c r="D14" s="3" t="s">
        <v>46</v>
      </c>
      <c r="E14" s="2" t="s">
        <v>57</v>
      </c>
      <c r="F14" s="3" t="s">
        <v>120</v>
      </c>
      <c r="G14" s="2" t="s">
        <v>121</v>
      </c>
      <c r="H14" s="4" t="s">
        <v>122</v>
      </c>
      <c r="I14" s="3" t="s">
        <v>122</v>
      </c>
      <c r="J14" s="2" t="s">
        <v>123</v>
      </c>
      <c r="K14" s="3" t="s">
        <v>124</v>
      </c>
      <c r="L14" s="2" t="n">
        <v>1</v>
      </c>
      <c r="M14" s="5" t="s">
        <v>125</v>
      </c>
      <c r="N14" s="6" t="s">
        <v>126</v>
      </c>
    </row>
    <row r="15" customFormat="false" ht="67.5" hidden="false" customHeight="true" outlineLevel="0" collapsed="false">
      <c r="A15" s="2" t="s">
        <v>127</v>
      </c>
      <c r="B15" s="3" t="s">
        <v>128</v>
      </c>
      <c r="C15" s="2" t="s">
        <v>16</v>
      </c>
      <c r="D15" s="3" t="s">
        <v>46</v>
      </c>
      <c r="E15" s="2" t="s">
        <v>18</v>
      </c>
      <c r="F15" s="3" t="s">
        <v>129</v>
      </c>
      <c r="G15" s="2" t="s">
        <v>20</v>
      </c>
      <c r="H15" s="4" t="s">
        <v>39</v>
      </c>
      <c r="I15" s="3" t="s">
        <v>130</v>
      </c>
      <c r="J15" s="2" t="s">
        <v>76</v>
      </c>
      <c r="K15" s="3" t="s">
        <v>131</v>
      </c>
      <c r="L15" s="2" t="n">
        <v>2</v>
      </c>
      <c r="M15" s="5" t="s">
        <v>132</v>
      </c>
      <c r="N15" s="6" t="s">
        <v>133</v>
      </c>
    </row>
    <row r="16" customFormat="false" ht="67.5" hidden="false" customHeight="true" outlineLevel="0" collapsed="false">
      <c r="A16" s="2" t="s">
        <v>134</v>
      </c>
      <c r="B16" s="3" t="s">
        <v>135</v>
      </c>
      <c r="C16" s="2" t="s">
        <v>16</v>
      </c>
      <c r="D16" s="3" t="s">
        <v>136</v>
      </c>
      <c r="E16" s="2" t="s">
        <v>57</v>
      </c>
      <c r="F16" s="3" t="s">
        <v>137</v>
      </c>
      <c r="G16" s="2" t="s">
        <v>49</v>
      </c>
      <c r="H16" s="4" t="s">
        <v>138</v>
      </c>
      <c r="I16" s="3" t="s">
        <v>139</v>
      </c>
      <c r="J16" s="2" t="s">
        <v>76</v>
      </c>
      <c r="K16" s="3" t="s">
        <v>140</v>
      </c>
      <c r="L16" s="2" t="n">
        <v>2</v>
      </c>
      <c r="M16" s="5" t="s">
        <v>141</v>
      </c>
      <c r="N16" s="6" t="s">
        <v>142</v>
      </c>
    </row>
    <row r="17" customFormat="false" ht="67.5" hidden="false" customHeight="true" outlineLevel="0" collapsed="false">
      <c r="A17" s="2" t="s">
        <v>143</v>
      </c>
      <c r="B17" s="3" t="s">
        <v>144</v>
      </c>
      <c r="C17" s="2" t="s">
        <v>16</v>
      </c>
      <c r="D17" s="3" t="s">
        <v>145</v>
      </c>
      <c r="E17" s="2" t="s">
        <v>57</v>
      </c>
      <c r="F17" s="3" t="s">
        <v>146</v>
      </c>
      <c r="G17" s="2" t="s">
        <v>49</v>
      </c>
      <c r="H17" s="4" t="s">
        <v>147</v>
      </c>
      <c r="I17" s="3" t="s">
        <v>148</v>
      </c>
      <c r="J17" s="2" t="s">
        <v>76</v>
      </c>
      <c r="K17" s="3" t="s">
        <v>149</v>
      </c>
      <c r="L17" s="2" t="n">
        <v>3</v>
      </c>
      <c r="M17" s="5" t="s">
        <v>150</v>
      </c>
      <c r="N17" s="6" t="s">
        <v>151</v>
      </c>
    </row>
    <row r="18" customFormat="false" ht="67.5" hidden="false" customHeight="true" outlineLevel="0" collapsed="false">
      <c r="A18" s="2" t="s">
        <v>152</v>
      </c>
      <c r="B18" s="3" t="s">
        <v>153</v>
      </c>
      <c r="C18" s="2" t="s">
        <v>16</v>
      </c>
      <c r="D18" s="3" t="s">
        <v>154</v>
      </c>
      <c r="E18" s="2" t="s">
        <v>57</v>
      </c>
      <c r="F18" s="3" t="s">
        <v>155</v>
      </c>
      <c r="G18" s="2" t="s">
        <v>49</v>
      </c>
      <c r="H18" s="4" t="s">
        <v>138</v>
      </c>
      <c r="I18" s="3" t="s">
        <v>156</v>
      </c>
      <c r="J18" s="2" t="s">
        <v>123</v>
      </c>
      <c r="K18" s="3" t="s">
        <v>157</v>
      </c>
      <c r="L18" s="2" t="n">
        <v>1</v>
      </c>
      <c r="M18" s="5" t="s">
        <v>158</v>
      </c>
      <c r="N18" s="6" t="s">
        <v>159</v>
      </c>
    </row>
    <row r="19" customFormat="false" ht="67.5" hidden="false" customHeight="true" outlineLevel="0" collapsed="false">
      <c r="A19" s="2" t="s">
        <v>160</v>
      </c>
      <c r="B19" s="3" t="s">
        <v>161</v>
      </c>
      <c r="C19" s="2" t="s">
        <v>16</v>
      </c>
      <c r="D19" s="3" t="s">
        <v>162</v>
      </c>
      <c r="E19" s="2" t="s">
        <v>57</v>
      </c>
      <c r="F19" s="3" t="s">
        <v>163</v>
      </c>
      <c r="G19" s="2" t="s">
        <v>49</v>
      </c>
      <c r="H19" s="4" t="s">
        <v>147</v>
      </c>
      <c r="I19" s="3" t="s">
        <v>164</v>
      </c>
      <c r="J19" s="2" t="s">
        <v>23</v>
      </c>
      <c r="K19" s="3" t="s">
        <v>165</v>
      </c>
      <c r="L19" s="2" t="n">
        <v>4</v>
      </c>
      <c r="M19" s="5" t="s">
        <v>166</v>
      </c>
      <c r="N19" s="6" t="s">
        <v>167</v>
      </c>
    </row>
    <row r="20" customFormat="false" ht="67.5" hidden="false" customHeight="true" outlineLevel="0" collapsed="false">
      <c r="A20" s="2" t="s">
        <v>168</v>
      </c>
      <c r="B20" s="3" t="s">
        <v>169</v>
      </c>
      <c r="C20" s="2" t="s">
        <v>16</v>
      </c>
      <c r="D20" s="3" t="s">
        <v>170</v>
      </c>
      <c r="E20" s="2" t="s">
        <v>57</v>
      </c>
      <c r="F20" s="3" t="s">
        <v>171</v>
      </c>
      <c r="G20" s="2" t="s">
        <v>49</v>
      </c>
      <c r="H20" s="4" t="s">
        <v>172</v>
      </c>
      <c r="I20" s="3" t="s">
        <v>173</v>
      </c>
      <c r="J20" s="2" t="s">
        <v>23</v>
      </c>
      <c r="K20" s="3" t="s">
        <v>174</v>
      </c>
      <c r="L20" s="2" t="n">
        <v>3</v>
      </c>
      <c r="M20" s="5" t="s">
        <v>175</v>
      </c>
      <c r="N20" s="6" t="s">
        <v>176</v>
      </c>
    </row>
    <row r="21" customFormat="false" ht="67.5" hidden="false" customHeight="true" outlineLevel="0" collapsed="false">
      <c r="A21" s="2" t="s">
        <v>177</v>
      </c>
      <c r="B21" s="3" t="s">
        <v>178</v>
      </c>
      <c r="C21" s="2" t="s">
        <v>16</v>
      </c>
      <c r="D21" s="3" t="s">
        <v>179</v>
      </c>
      <c r="E21" s="2" t="s">
        <v>180</v>
      </c>
      <c r="F21" s="3" t="s">
        <v>181</v>
      </c>
      <c r="G21" s="2" t="s">
        <v>49</v>
      </c>
      <c r="H21" s="4" t="s">
        <v>138</v>
      </c>
      <c r="I21" s="3" t="s">
        <v>182</v>
      </c>
      <c r="J21" s="2" t="s">
        <v>23</v>
      </c>
      <c r="K21" s="3" t="s">
        <v>183</v>
      </c>
      <c r="L21" s="2" t="n">
        <v>3</v>
      </c>
      <c r="M21" s="5" t="s">
        <v>184</v>
      </c>
      <c r="N21" s="6" t="s">
        <v>185</v>
      </c>
    </row>
    <row r="22" customFormat="false" ht="67.5" hidden="false" customHeight="true" outlineLevel="0" collapsed="false">
      <c r="A22" s="2" t="s">
        <v>186</v>
      </c>
      <c r="B22" s="3" t="s">
        <v>187</v>
      </c>
      <c r="C22" s="2" t="s">
        <v>16</v>
      </c>
      <c r="D22" s="3" t="s">
        <v>188</v>
      </c>
      <c r="E22" s="2" t="s">
        <v>57</v>
      </c>
      <c r="F22" s="3" t="s">
        <v>189</v>
      </c>
      <c r="G22" s="2" t="s">
        <v>49</v>
      </c>
      <c r="H22" s="4" t="s">
        <v>138</v>
      </c>
      <c r="I22" s="3" t="s">
        <v>190</v>
      </c>
      <c r="J22" s="2" t="s">
        <v>191</v>
      </c>
      <c r="K22" s="3" t="s">
        <v>192</v>
      </c>
      <c r="L22" s="2" t="n">
        <v>3</v>
      </c>
      <c r="M22" s="5" t="s">
        <v>193</v>
      </c>
      <c r="N22" s="6" t="s">
        <v>194</v>
      </c>
    </row>
    <row r="23" customFormat="false" ht="67.5" hidden="false" customHeight="true" outlineLevel="0" collapsed="false">
      <c r="A23" s="2" t="s">
        <v>195</v>
      </c>
      <c r="B23" s="3" t="s">
        <v>196</v>
      </c>
      <c r="C23" s="2" t="s">
        <v>16</v>
      </c>
      <c r="D23" s="3" t="s">
        <v>188</v>
      </c>
      <c r="E23" s="2" t="s">
        <v>180</v>
      </c>
      <c r="F23" s="3" t="s">
        <v>197</v>
      </c>
      <c r="G23" s="2" t="s">
        <v>49</v>
      </c>
      <c r="H23" s="4" t="s">
        <v>138</v>
      </c>
      <c r="I23" s="3" t="s">
        <v>198</v>
      </c>
      <c r="J23" s="2" t="s">
        <v>23</v>
      </c>
      <c r="K23" s="3" t="s">
        <v>199</v>
      </c>
      <c r="L23" s="2" t="n">
        <v>4</v>
      </c>
      <c r="M23" s="5" t="s">
        <v>200</v>
      </c>
      <c r="N23" s="6" t="s">
        <v>194</v>
      </c>
    </row>
    <row r="24" customFormat="false" ht="67.5" hidden="false" customHeight="true" outlineLevel="0" collapsed="false">
      <c r="A24" s="2" t="s">
        <v>201</v>
      </c>
      <c r="B24" s="3" t="s">
        <v>202</v>
      </c>
      <c r="C24" s="2" t="s">
        <v>16</v>
      </c>
      <c r="D24" s="3" t="s">
        <v>203</v>
      </c>
      <c r="E24" s="2" t="s">
        <v>47</v>
      </c>
      <c r="F24" s="3" t="s">
        <v>204</v>
      </c>
      <c r="G24" s="2" t="s">
        <v>113</v>
      </c>
      <c r="H24" s="4" t="s">
        <v>59</v>
      </c>
      <c r="I24" s="3" t="s">
        <v>205</v>
      </c>
      <c r="J24" s="2" t="s">
        <v>23</v>
      </c>
      <c r="K24" s="3" t="s">
        <v>206</v>
      </c>
      <c r="L24" s="2" t="n">
        <v>3</v>
      </c>
      <c r="M24" s="5" t="s">
        <v>207</v>
      </c>
      <c r="N24" s="6" t="s">
        <v>208</v>
      </c>
    </row>
    <row r="25" customFormat="false" ht="67.5" hidden="false" customHeight="true" outlineLevel="0" collapsed="false">
      <c r="A25" s="2" t="s">
        <v>209</v>
      </c>
      <c r="B25" s="3" t="s">
        <v>210</v>
      </c>
      <c r="C25" s="2" t="s">
        <v>16</v>
      </c>
      <c r="D25" s="3" t="s">
        <v>188</v>
      </c>
      <c r="E25" s="2" t="s">
        <v>180</v>
      </c>
      <c r="F25" s="3" t="s">
        <v>211</v>
      </c>
      <c r="G25" s="2" t="s">
        <v>49</v>
      </c>
      <c r="H25" s="4" t="s">
        <v>138</v>
      </c>
      <c r="I25" s="3" t="s">
        <v>212</v>
      </c>
      <c r="J25" s="2" t="s">
        <v>23</v>
      </c>
      <c r="K25" s="3" t="s">
        <v>213</v>
      </c>
      <c r="L25" s="2" t="n">
        <v>4</v>
      </c>
      <c r="M25" s="5" t="s">
        <v>214</v>
      </c>
      <c r="N25" s="6" t="s">
        <v>215</v>
      </c>
    </row>
    <row r="26" customFormat="false" ht="67.5" hidden="false" customHeight="true" outlineLevel="0" collapsed="false">
      <c r="A26" s="2" t="s">
        <v>216</v>
      </c>
      <c r="B26" s="3" t="s">
        <v>217</v>
      </c>
      <c r="C26" s="2" t="s">
        <v>16</v>
      </c>
      <c r="D26" s="3" t="s">
        <v>218</v>
      </c>
      <c r="E26" s="2" t="s">
        <v>57</v>
      </c>
      <c r="F26" s="3" t="s">
        <v>219</v>
      </c>
      <c r="G26" s="2" t="s">
        <v>49</v>
      </c>
      <c r="H26" s="4" t="s">
        <v>138</v>
      </c>
      <c r="I26" s="3" t="s">
        <v>220</v>
      </c>
      <c r="J26" s="2" t="s">
        <v>23</v>
      </c>
      <c r="K26" s="3" t="s">
        <v>221</v>
      </c>
      <c r="L26" s="2" t="n">
        <v>2</v>
      </c>
      <c r="M26" s="5" t="s">
        <v>222</v>
      </c>
      <c r="N26" s="6" t="s">
        <v>223</v>
      </c>
    </row>
    <row r="27" customFormat="false" ht="67.5" hidden="false" customHeight="true" outlineLevel="0" collapsed="false">
      <c r="A27" s="2" t="s">
        <v>224</v>
      </c>
      <c r="B27" s="3" t="s">
        <v>225</v>
      </c>
      <c r="C27" s="2" t="s">
        <v>16</v>
      </c>
      <c r="D27" s="3" t="s">
        <v>226</v>
      </c>
      <c r="E27" s="2" t="s">
        <v>18</v>
      </c>
      <c r="F27" s="3" t="s">
        <v>227</v>
      </c>
      <c r="G27" s="2" t="s">
        <v>113</v>
      </c>
      <c r="H27" s="4" t="s">
        <v>138</v>
      </c>
      <c r="I27" s="3" t="s">
        <v>228</v>
      </c>
      <c r="J27" s="2" t="s">
        <v>23</v>
      </c>
      <c r="K27" s="3" t="s">
        <v>229</v>
      </c>
      <c r="L27" s="2" t="n">
        <v>2</v>
      </c>
      <c r="M27" s="5" t="s">
        <v>230</v>
      </c>
      <c r="N27" s="6" t="s">
        <v>231</v>
      </c>
    </row>
    <row r="28" customFormat="false" ht="67.5" hidden="false" customHeight="true" outlineLevel="0" collapsed="false">
      <c r="A28" s="2" t="s">
        <v>232</v>
      </c>
      <c r="B28" s="3" t="s">
        <v>233</v>
      </c>
      <c r="C28" s="2" t="s">
        <v>16</v>
      </c>
      <c r="D28" s="3" t="s">
        <v>234</v>
      </c>
      <c r="E28" s="2" t="s">
        <v>57</v>
      </c>
      <c r="F28" s="3" t="s">
        <v>235</v>
      </c>
      <c r="G28" s="2" t="s">
        <v>49</v>
      </c>
      <c r="H28" s="4" t="s">
        <v>236</v>
      </c>
      <c r="I28" s="3" t="s">
        <v>237</v>
      </c>
      <c r="J28" s="2" t="s">
        <v>76</v>
      </c>
      <c r="K28" s="3" t="s">
        <v>238</v>
      </c>
      <c r="L28" s="2" t="n">
        <v>4</v>
      </c>
      <c r="M28" s="5" t="s">
        <v>239</v>
      </c>
      <c r="N28" s="6" t="s">
        <v>240</v>
      </c>
    </row>
    <row r="29" customFormat="false" ht="67.5" hidden="false" customHeight="true" outlineLevel="0" collapsed="false">
      <c r="A29" s="2" t="s">
        <v>241</v>
      </c>
      <c r="B29" s="3" t="s">
        <v>242</v>
      </c>
      <c r="C29" s="2" t="s">
        <v>16</v>
      </c>
      <c r="D29" s="3" t="s">
        <v>243</v>
      </c>
      <c r="E29" s="2" t="s">
        <v>57</v>
      </c>
      <c r="F29" s="3" t="s">
        <v>244</v>
      </c>
      <c r="G29" s="2" t="s">
        <v>49</v>
      </c>
      <c r="H29" s="4" t="s">
        <v>236</v>
      </c>
      <c r="I29" s="3" t="s">
        <v>245</v>
      </c>
      <c r="J29" s="2" t="s">
        <v>23</v>
      </c>
      <c r="K29" s="3" t="s">
        <v>246</v>
      </c>
      <c r="L29" s="2" t="n">
        <v>5</v>
      </c>
      <c r="M29" s="5" t="s">
        <v>247</v>
      </c>
      <c r="N29" s="6" t="s">
        <v>248</v>
      </c>
    </row>
    <row r="30" customFormat="false" ht="67.5" hidden="false" customHeight="true" outlineLevel="0" collapsed="false">
      <c r="A30" s="2" t="s">
        <v>249</v>
      </c>
      <c r="B30" s="3" t="s">
        <v>250</v>
      </c>
      <c r="C30" s="2" t="s">
        <v>16</v>
      </c>
      <c r="D30" s="3" t="s">
        <v>251</v>
      </c>
      <c r="E30" s="2" t="s">
        <v>57</v>
      </c>
      <c r="F30" s="3" t="s">
        <v>252</v>
      </c>
      <c r="G30" s="2" t="s">
        <v>49</v>
      </c>
      <c r="H30" s="4" t="s">
        <v>253</v>
      </c>
      <c r="I30" s="3" t="s">
        <v>254</v>
      </c>
      <c r="J30" s="2" t="s">
        <v>76</v>
      </c>
      <c r="K30" s="3" t="s">
        <v>255</v>
      </c>
      <c r="L30" s="2" t="n">
        <v>3</v>
      </c>
      <c r="M30" s="5" t="s">
        <v>256</v>
      </c>
      <c r="N30" s="6" t="s">
        <v>257</v>
      </c>
    </row>
    <row r="31" customFormat="false" ht="67.5" hidden="false" customHeight="true" outlineLevel="0" collapsed="false">
      <c r="A31" s="2" t="s">
        <v>258</v>
      </c>
      <c r="B31" s="3" t="s">
        <v>259</v>
      </c>
      <c r="C31" s="2" t="s">
        <v>16</v>
      </c>
      <c r="D31" s="3" t="s">
        <v>260</v>
      </c>
      <c r="E31" s="2" t="s">
        <v>57</v>
      </c>
      <c r="F31" s="3" t="s">
        <v>261</v>
      </c>
      <c r="G31" s="2" t="s">
        <v>49</v>
      </c>
      <c r="H31" s="4" t="s">
        <v>236</v>
      </c>
      <c r="I31" s="3" t="s">
        <v>262</v>
      </c>
      <c r="J31" s="2" t="s">
        <v>23</v>
      </c>
      <c r="K31" s="3" t="s">
        <v>263</v>
      </c>
      <c r="L31" s="2" t="n">
        <v>4</v>
      </c>
      <c r="M31" s="5" t="s">
        <v>264</v>
      </c>
      <c r="N31" s="6" t="s">
        <v>265</v>
      </c>
    </row>
    <row r="32" customFormat="false" ht="67.5" hidden="false" customHeight="true" outlineLevel="0" collapsed="false">
      <c r="A32" s="2" t="s">
        <v>266</v>
      </c>
      <c r="B32" s="3" t="s">
        <v>267</v>
      </c>
      <c r="C32" s="2" t="s">
        <v>16</v>
      </c>
      <c r="D32" s="3" t="s">
        <v>268</v>
      </c>
      <c r="E32" s="2" t="s">
        <v>57</v>
      </c>
      <c r="F32" s="3" t="s">
        <v>269</v>
      </c>
      <c r="G32" s="2" t="s">
        <v>49</v>
      </c>
      <c r="H32" s="4" t="s">
        <v>30</v>
      </c>
      <c r="I32" s="3" t="s">
        <v>270</v>
      </c>
      <c r="J32" s="2" t="s">
        <v>76</v>
      </c>
      <c r="K32" s="3" t="s">
        <v>271</v>
      </c>
      <c r="L32" s="2" t="n">
        <v>3</v>
      </c>
      <c r="M32" s="5" t="s">
        <v>272</v>
      </c>
      <c r="N32" s="6" t="s">
        <v>273</v>
      </c>
    </row>
    <row r="33" customFormat="false" ht="67.5" hidden="false" customHeight="true" outlineLevel="0" collapsed="false">
      <c r="A33" s="2" t="s">
        <v>274</v>
      </c>
      <c r="B33" s="3" t="s">
        <v>275</v>
      </c>
      <c r="C33" s="2" t="s">
        <v>16</v>
      </c>
      <c r="D33" s="3" t="s">
        <v>276</v>
      </c>
      <c r="E33" s="2" t="s">
        <v>57</v>
      </c>
      <c r="F33" s="3" t="s">
        <v>277</v>
      </c>
      <c r="G33" s="2" t="s">
        <v>49</v>
      </c>
      <c r="H33" s="4" t="s">
        <v>236</v>
      </c>
      <c r="I33" s="3" t="s">
        <v>278</v>
      </c>
      <c r="J33" s="2" t="s">
        <v>23</v>
      </c>
      <c r="K33" s="3" t="s">
        <v>279</v>
      </c>
      <c r="L33" s="2" t="n">
        <v>4</v>
      </c>
      <c r="M33" s="5" t="s">
        <v>280</v>
      </c>
      <c r="N33" s="6" t="s">
        <v>281</v>
      </c>
    </row>
    <row r="34" customFormat="false" ht="67.5" hidden="false" customHeight="true" outlineLevel="0" collapsed="false">
      <c r="A34" s="2" t="s">
        <v>282</v>
      </c>
      <c r="B34" s="3" t="s">
        <v>283</v>
      </c>
      <c r="C34" s="2" t="s">
        <v>16</v>
      </c>
      <c r="D34" s="3" t="s">
        <v>284</v>
      </c>
      <c r="E34" s="2" t="s">
        <v>57</v>
      </c>
      <c r="F34" s="3" t="s">
        <v>285</v>
      </c>
      <c r="G34" s="2" t="s">
        <v>49</v>
      </c>
      <c r="H34" s="4" t="s">
        <v>30</v>
      </c>
      <c r="I34" s="3" t="s">
        <v>286</v>
      </c>
      <c r="J34" s="2" t="s">
        <v>76</v>
      </c>
      <c r="K34" s="3" t="s">
        <v>287</v>
      </c>
      <c r="L34" s="2" t="n">
        <v>2</v>
      </c>
      <c r="M34" s="5" t="s">
        <v>288</v>
      </c>
      <c r="N34" s="6" t="s">
        <v>289</v>
      </c>
    </row>
    <row r="35" customFormat="false" ht="67.5" hidden="false" customHeight="true" outlineLevel="0" collapsed="false">
      <c r="A35" s="2" t="s">
        <v>290</v>
      </c>
      <c r="B35" s="3" t="s">
        <v>291</v>
      </c>
      <c r="C35" s="2" t="s">
        <v>16</v>
      </c>
      <c r="D35" s="3" t="s">
        <v>292</v>
      </c>
      <c r="E35" s="2" t="s">
        <v>18</v>
      </c>
      <c r="F35" s="3" t="s">
        <v>293</v>
      </c>
      <c r="G35" s="2" t="s">
        <v>20</v>
      </c>
      <c r="H35" s="4" t="s">
        <v>67</v>
      </c>
      <c r="I35" s="3" t="s">
        <v>294</v>
      </c>
      <c r="J35" s="2" t="s">
        <v>76</v>
      </c>
      <c r="K35" s="3" t="s">
        <v>295</v>
      </c>
      <c r="L35" s="2" t="n">
        <v>2</v>
      </c>
      <c r="M35" s="5" t="s">
        <v>296</v>
      </c>
      <c r="N35" s="6" t="s">
        <v>297</v>
      </c>
    </row>
    <row r="36" customFormat="false" ht="67.5" hidden="false" customHeight="true" outlineLevel="0" collapsed="false">
      <c r="A36" s="2" t="s">
        <v>298</v>
      </c>
      <c r="B36" s="3" t="s">
        <v>299</v>
      </c>
      <c r="C36" s="2" t="s">
        <v>16</v>
      </c>
      <c r="D36" s="3" t="s">
        <v>300</v>
      </c>
      <c r="E36" s="2" t="s">
        <v>57</v>
      </c>
      <c r="F36" s="3" t="s">
        <v>301</v>
      </c>
      <c r="G36" s="2" t="s">
        <v>49</v>
      </c>
      <c r="H36" s="4" t="s">
        <v>67</v>
      </c>
      <c r="I36" s="3" t="s">
        <v>302</v>
      </c>
      <c r="J36" s="2" t="s">
        <v>23</v>
      </c>
      <c r="K36" s="3" t="s">
        <v>303</v>
      </c>
      <c r="L36" s="2" t="n">
        <v>4</v>
      </c>
      <c r="M36" s="5" t="s">
        <v>304</v>
      </c>
      <c r="N36" s="6" t="s">
        <v>305</v>
      </c>
    </row>
    <row r="37" customFormat="false" ht="67.5" hidden="false" customHeight="true" outlineLevel="0" collapsed="false">
      <c r="A37" s="2" t="s">
        <v>306</v>
      </c>
      <c r="B37" s="3" t="s">
        <v>307</v>
      </c>
      <c r="C37" s="2" t="s">
        <v>16</v>
      </c>
      <c r="D37" s="3" t="s">
        <v>308</v>
      </c>
      <c r="E37" s="2" t="s">
        <v>57</v>
      </c>
      <c r="F37" s="3" t="s">
        <v>309</v>
      </c>
      <c r="G37" s="2" t="s">
        <v>49</v>
      </c>
      <c r="H37" s="4" t="s">
        <v>67</v>
      </c>
      <c r="I37" s="3" t="s">
        <v>310</v>
      </c>
      <c r="J37" s="2" t="s">
        <v>90</v>
      </c>
      <c r="K37" s="3" t="s">
        <v>311</v>
      </c>
      <c r="L37" s="2" t="n">
        <v>5</v>
      </c>
      <c r="M37" s="5" t="s">
        <v>312</v>
      </c>
      <c r="N37" s="6" t="s">
        <v>313</v>
      </c>
    </row>
    <row r="38" customFormat="false" ht="67.5" hidden="false" customHeight="true" outlineLevel="0" collapsed="false">
      <c r="A38" s="2" t="s">
        <v>314</v>
      </c>
      <c r="B38" s="3" t="s">
        <v>315</v>
      </c>
      <c r="C38" s="2" t="s">
        <v>16</v>
      </c>
      <c r="D38" s="3" t="s">
        <v>316</v>
      </c>
      <c r="E38" s="2" t="s">
        <v>18</v>
      </c>
      <c r="F38" s="3" t="s">
        <v>317</v>
      </c>
      <c r="G38" s="2" t="s">
        <v>49</v>
      </c>
      <c r="H38" s="4" t="s">
        <v>318</v>
      </c>
      <c r="I38" s="3" t="s">
        <v>319</v>
      </c>
      <c r="J38" s="2" t="s">
        <v>23</v>
      </c>
      <c r="K38" s="3" t="s">
        <v>320</v>
      </c>
      <c r="L38" s="2" t="n">
        <v>4</v>
      </c>
      <c r="M38" s="5" t="s">
        <v>321</v>
      </c>
      <c r="N38" s="6" t="s">
        <v>322</v>
      </c>
    </row>
    <row r="39" customFormat="false" ht="67.5" hidden="false" customHeight="true" outlineLevel="0" collapsed="false">
      <c r="A39" s="2" t="s">
        <v>323</v>
      </c>
      <c r="B39" s="3" t="s">
        <v>324</v>
      </c>
      <c r="C39" s="2" t="s">
        <v>325</v>
      </c>
      <c r="D39" s="3" t="s">
        <v>326</v>
      </c>
      <c r="E39" s="2" t="s">
        <v>18</v>
      </c>
      <c r="F39" s="3" t="s">
        <v>327</v>
      </c>
      <c r="G39" s="2" t="s">
        <v>20</v>
      </c>
      <c r="H39" s="4" t="s">
        <v>328</v>
      </c>
      <c r="I39" s="3" t="s">
        <v>329</v>
      </c>
      <c r="J39" s="2" t="s">
        <v>23</v>
      </c>
      <c r="K39" s="3" t="s">
        <v>330</v>
      </c>
      <c r="L39" s="2" t="n">
        <v>4</v>
      </c>
      <c r="M39" s="5" t="s">
        <v>331</v>
      </c>
      <c r="N39" s="6" t="s">
        <v>332</v>
      </c>
    </row>
    <row r="40" customFormat="false" ht="67.5" hidden="false" customHeight="true" outlineLevel="0" collapsed="false">
      <c r="A40" s="2" t="s">
        <v>333</v>
      </c>
      <c r="B40" s="3" t="s">
        <v>334</v>
      </c>
      <c r="C40" s="2" t="s">
        <v>325</v>
      </c>
      <c r="D40" s="3" t="s">
        <v>335</v>
      </c>
      <c r="E40" s="2" t="s">
        <v>57</v>
      </c>
      <c r="F40" s="3" t="s">
        <v>336</v>
      </c>
      <c r="G40" s="2" t="s">
        <v>49</v>
      </c>
      <c r="H40" s="4" t="s">
        <v>138</v>
      </c>
      <c r="I40" s="3" t="s">
        <v>337</v>
      </c>
      <c r="J40" s="2" t="s">
        <v>23</v>
      </c>
      <c r="K40" s="3" t="s">
        <v>338</v>
      </c>
      <c r="L40" s="2" t="n">
        <v>3</v>
      </c>
      <c r="M40" s="5" t="s">
        <v>339</v>
      </c>
      <c r="N40" s="6" t="s">
        <v>340</v>
      </c>
    </row>
    <row r="41" customFormat="false" ht="67.5" hidden="false" customHeight="true" outlineLevel="0" collapsed="false">
      <c r="A41" s="2" t="s">
        <v>341</v>
      </c>
      <c r="B41" s="3" t="s">
        <v>342</v>
      </c>
      <c r="C41" s="2" t="s">
        <v>325</v>
      </c>
      <c r="D41" s="3" t="s">
        <v>335</v>
      </c>
      <c r="E41" s="2" t="s">
        <v>57</v>
      </c>
      <c r="F41" s="3" t="s">
        <v>343</v>
      </c>
      <c r="G41" s="2" t="s">
        <v>49</v>
      </c>
      <c r="H41" s="4" t="s">
        <v>172</v>
      </c>
      <c r="I41" s="3" t="s">
        <v>344</v>
      </c>
      <c r="J41" s="2" t="s">
        <v>76</v>
      </c>
      <c r="K41" s="3" t="s">
        <v>345</v>
      </c>
      <c r="L41" s="2" t="n">
        <v>3</v>
      </c>
      <c r="M41" s="5" t="s">
        <v>346</v>
      </c>
      <c r="N41" s="6" t="s">
        <v>347</v>
      </c>
    </row>
    <row r="42" customFormat="false" ht="67.5" hidden="false" customHeight="true" outlineLevel="0" collapsed="false">
      <c r="A42" s="2" t="s">
        <v>348</v>
      </c>
      <c r="B42" s="3" t="s">
        <v>349</v>
      </c>
      <c r="C42" s="2" t="s">
        <v>325</v>
      </c>
      <c r="D42" s="3" t="s">
        <v>350</v>
      </c>
      <c r="E42" s="2" t="s">
        <v>57</v>
      </c>
      <c r="F42" s="3" t="s">
        <v>351</v>
      </c>
      <c r="G42" s="2" t="s">
        <v>49</v>
      </c>
      <c r="H42" s="4" t="s">
        <v>138</v>
      </c>
      <c r="I42" s="3" t="s">
        <v>352</v>
      </c>
      <c r="J42" s="2" t="s">
        <v>76</v>
      </c>
      <c r="K42" s="3" t="s">
        <v>353</v>
      </c>
      <c r="L42" s="2" t="n">
        <v>1</v>
      </c>
      <c r="M42" s="5" t="s">
        <v>354</v>
      </c>
      <c r="N42" s="6" t="s">
        <v>355</v>
      </c>
    </row>
    <row r="43" customFormat="false" ht="67.5" hidden="false" customHeight="true" outlineLevel="0" collapsed="false">
      <c r="A43" s="2" t="s">
        <v>356</v>
      </c>
      <c r="B43" s="3" t="s">
        <v>357</v>
      </c>
      <c r="C43" s="2" t="s">
        <v>325</v>
      </c>
      <c r="D43" s="3" t="s">
        <v>358</v>
      </c>
      <c r="E43" s="2" t="s">
        <v>18</v>
      </c>
      <c r="F43" s="3" t="s">
        <v>359</v>
      </c>
      <c r="G43" s="2" t="s">
        <v>113</v>
      </c>
      <c r="H43" s="4" t="s">
        <v>59</v>
      </c>
      <c r="I43" s="3" t="s">
        <v>360</v>
      </c>
      <c r="J43" s="2" t="s">
        <v>23</v>
      </c>
      <c r="K43" s="3" t="s">
        <v>361</v>
      </c>
      <c r="L43" s="2" t="n">
        <v>2</v>
      </c>
      <c r="M43" s="5" t="s">
        <v>362</v>
      </c>
      <c r="N43" s="6" t="s">
        <v>363</v>
      </c>
    </row>
    <row r="44" customFormat="false" ht="67.5" hidden="false" customHeight="true" outlineLevel="0" collapsed="false">
      <c r="A44" s="2" t="s">
        <v>364</v>
      </c>
      <c r="B44" s="3" t="s">
        <v>365</v>
      </c>
      <c r="C44" s="2" t="s">
        <v>325</v>
      </c>
      <c r="D44" s="3" t="s">
        <v>366</v>
      </c>
      <c r="E44" s="2" t="s">
        <v>47</v>
      </c>
      <c r="F44" s="3" t="s">
        <v>367</v>
      </c>
      <c r="G44" s="2" t="s">
        <v>20</v>
      </c>
      <c r="H44" s="4" t="s">
        <v>59</v>
      </c>
      <c r="I44" s="3" t="s">
        <v>368</v>
      </c>
      <c r="J44" s="2" t="s">
        <v>23</v>
      </c>
      <c r="K44" s="3" t="s">
        <v>369</v>
      </c>
      <c r="L44" s="2" t="n">
        <v>3</v>
      </c>
      <c r="M44" s="5" t="s">
        <v>370</v>
      </c>
      <c r="N44" s="6" t="s">
        <v>371</v>
      </c>
    </row>
    <row r="45" customFormat="false" ht="67.5" hidden="false" customHeight="true" outlineLevel="0" collapsed="false">
      <c r="A45" s="2" t="s">
        <v>372</v>
      </c>
      <c r="B45" s="3" t="s">
        <v>373</v>
      </c>
      <c r="C45" s="2" t="s">
        <v>325</v>
      </c>
      <c r="D45" s="3" t="s">
        <v>366</v>
      </c>
      <c r="E45" s="2" t="s">
        <v>18</v>
      </c>
      <c r="F45" s="3" t="s">
        <v>374</v>
      </c>
      <c r="G45" s="2" t="s">
        <v>113</v>
      </c>
      <c r="H45" s="4" t="s">
        <v>59</v>
      </c>
      <c r="I45" s="3" t="s">
        <v>375</v>
      </c>
      <c r="J45" s="2" t="s">
        <v>23</v>
      </c>
      <c r="K45" s="3" t="s">
        <v>376</v>
      </c>
      <c r="L45" s="2" t="n">
        <v>4</v>
      </c>
      <c r="M45" s="5" t="s">
        <v>377</v>
      </c>
      <c r="N45" s="6" t="s">
        <v>378</v>
      </c>
    </row>
    <row r="46" customFormat="false" ht="67.5" hidden="false" customHeight="true" outlineLevel="0" collapsed="false">
      <c r="A46" s="2" t="s">
        <v>379</v>
      </c>
      <c r="B46" s="3" t="s">
        <v>380</v>
      </c>
      <c r="C46" s="2" t="s">
        <v>325</v>
      </c>
      <c r="D46" s="3" t="s">
        <v>381</v>
      </c>
      <c r="E46" s="2" t="s">
        <v>18</v>
      </c>
      <c r="F46" s="3" t="s">
        <v>382</v>
      </c>
      <c r="G46" s="2" t="s">
        <v>113</v>
      </c>
      <c r="H46" s="4" t="s">
        <v>59</v>
      </c>
      <c r="I46" s="3" t="s">
        <v>383</v>
      </c>
      <c r="J46" s="2" t="s">
        <v>23</v>
      </c>
      <c r="K46" s="3" t="s">
        <v>384</v>
      </c>
      <c r="L46" s="2" t="n">
        <v>3</v>
      </c>
      <c r="M46" s="5" t="s">
        <v>385</v>
      </c>
      <c r="N46" s="6" t="s">
        <v>386</v>
      </c>
    </row>
    <row r="47" customFormat="false" ht="67.5" hidden="false" customHeight="true" outlineLevel="0" collapsed="false">
      <c r="A47" s="2" t="s">
        <v>387</v>
      </c>
      <c r="B47" s="3" t="s">
        <v>388</v>
      </c>
      <c r="C47" s="2" t="s">
        <v>325</v>
      </c>
      <c r="D47" s="3" t="s">
        <v>389</v>
      </c>
      <c r="E47" s="2" t="s">
        <v>18</v>
      </c>
      <c r="F47" s="3" t="s">
        <v>390</v>
      </c>
      <c r="G47" s="2" t="s">
        <v>49</v>
      </c>
      <c r="H47" s="4" t="s">
        <v>59</v>
      </c>
      <c r="I47" s="3" t="s">
        <v>391</v>
      </c>
      <c r="J47" s="2" t="s">
        <v>23</v>
      </c>
      <c r="K47" s="3" t="s">
        <v>392</v>
      </c>
      <c r="L47" s="2" t="n">
        <v>5</v>
      </c>
      <c r="M47" s="5" t="s">
        <v>393</v>
      </c>
      <c r="N47" s="6" t="s">
        <v>394</v>
      </c>
    </row>
    <row r="48" customFormat="false" ht="67.5" hidden="false" customHeight="true" outlineLevel="0" collapsed="false">
      <c r="A48" s="2" t="s">
        <v>395</v>
      </c>
      <c r="B48" s="3" t="s">
        <v>396</v>
      </c>
      <c r="C48" s="2" t="s">
        <v>325</v>
      </c>
      <c r="D48" s="3" t="s">
        <v>397</v>
      </c>
      <c r="E48" s="2" t="s">
        <v>18</v>
      </c>
      <c r="F48" s="3" t="s">
        <v>398</v>
      </c>
      <c r="G48" s="2" t="s">
        <v>20</v>
      </c>
      <c r="H48" s="4" t="s">
        <v>59</v>
      </c>
      <c r="I48" s="3" t="s">
        <v>399</v>
      </c>
      <c r="J48" s="2" t="s">
        <v>76</v>
      </c>
      <c r="K48" s="3" t="s">
        <v>400</v>
      </c>
      <c r="L48" s="2" t="n">
        <v>2</v>
      </c>
      <c r="M48" s="5" t="s">
        <v>401</v>
      </c>
      <c r="N48" s="6" t="s">
        <v>402</v>
      </c>
    </row>
    <row r="49" customFormat="false" ht="67.5" hidden="false" customHeight="true" outlineLevel="0" collapsed="false">
      <c r="A49" s="2" t="s">
        <v>403</v>
      </c>
      <c r="B49" s="3" t="s">
        <v>404</v>
      </c>
      <c r="C49" s="2" t="s">
        <v>325</v>
      </c>
      <c r="D49" s="3" t="s">
        <v>405</v>
      </c>
      <c r="E49" s="2" t="s">
        <v>18</v>
      </c>
      <c r="F49" s="3" t="s">
        <v>406</v>
      </c>
      <c r="G49" s="2" t="s">
        <v>20</v>
      </c>
      <c r="H49" s="4" t="s">
        <v>39</v>
      </c>
      <c r="I49" s="3" t="s">
        <v>407</v>
      </c>
      <c r="J49" s="2" t="s">
        <v>23</v>
      </c>
      <c r="K49" s="3" t="s">
        <v>408</v>
      </c>
      <c r="L49" s="2" t="n">
        <v>5</v>
      </c>
      <c r="M49" s="5" t="s">
        <v>409</v>
      </c>
      <c r="N49" s="6" t="s">
        <v>410</v>
      </c>
    </row>
    <row r="50" customFormat="false" ht="67.5" hidden="false" customHeight="true" outlineLevel="0" collapsed="false">
      <c r="A50" s="2" t="s">
        <v>411</v>
      </c>
      <c r="B50" s="3" t="s">
        <v>412</v>
      </c>
      <c r="C50" s="2" t="s">
        <v>325</v>
      </c>
      <c r="D50" s="3" t="s">
        <v>405</v>
      </c>
      <c r="E50" s="2" t="s">
        <v>57</v>
      </c>
      <c r="F50" s="3" t="s">
        <v>413</v>
      </c>
      <c r="G50" s="2" t="s">
        <v>20</v>
      </c>
      <c r="H50" s="4" t="s">
        <v>30</v>
      </c>
      <c r="I50" s="3" t="s">
        <v>414</v>
      </c>
      <c r="J50" s="2" t="s">
        <v>23</v>
      </c>
      <c r="K50" s="3" t="s">
        <v>415</v>
      </c>
      <c r="L50" s="2" t="n">
        <v>3</v>
      </c>
      <c r="M50" s="5" t="s">
        <v>416</v>
      </c>
      <c r="N50" s="6" t="s">
        <v>417</v>
      </c>
    </row>
    <row r="51" customFormat="false" ht="67.5" hidden="false" customHeight="true" outlineLevel="0" collapsed="false">
      <c r="A51" s="2" t="s">
        <v>418</v>
      </c>
      <c r="B51" s="3" t="s">
        <v>419</v>
      </c>
      <c r="C51" s="2" t="s">
        <v>325</v>
      </c>
      <c r="D51" s="3" t="s">
        <v>420</v>
      </c>
      <c r="E51" s="2" t="s">
        <v>57</v>
      </c>
      <c r="F51" s="3" t="s">
        <v>421</v>
      </c>
      <c r="G51" s="2" t="s">
        <v>49</v>
      </c>
      <c r="H51" s="4" t="s">
        <v>138</v>
      </c>
      <c r="I51" s="3" t="s">
        <v>422</v>
      </c>
      <c r="J51" s="2" t="s">
        <v>23</v>
      </c>
      <c r="K51" s="3" t="s">
        <v>423</v>
      </c>
      <c r="L51" s="2" t="n">
        <v>4</v>
      </c>
      <c r="M51" s="5" t="s">
        <v>424</v>
      </c>
      <c r="N51" s="6" t="s">
        <v>425</v>
      </c>
    </row>
    <row r="52" customFormat="false" ht="67.5" hidden="false" customHeight="true" outlineLevel="0" collapsed="false">
      <c r="A52" s="2" t="s">
        <v>426</v>
      </c>
      <c r="B52" s="3" t="s">
        <v>427</v>
      </c>
      <c r="C52" s="2" t="s">
        <v>325</v>
      </c>
      <c r="D52" s="3" t="s">
        <v>428</v>
      </c>
      <c r="E52" s="2" t="s">
        <v>18</v>
      </c>
      <c r="F52" s="3" t="s">
        <v>429</v>
      </c>
      <c r="G52" s="2" t="s">
        <v>20</v>
      </c>
      <c r="H52" s="4" t="s">
        <v>39</v>
      </c>
      <c r="I52" s="3" t="s">
        <v>430</v>
      </c>
      <c r="J52" s="2" t="s">
        <v>23</v>
      </c>
      <c r="K52" s="3" t="s">
        <v>431</v>
      </c>
      <c r="L52" s="2" t="n">
        <v>4</v>
      </c>
      <c r="M52" s="5" t="s">
        <v>432</v>
      </c>
      <c r="N52" s="6" t="s">
        <v>433</v>
      </c>
    </row>
    <row r="53" customFormat="false" ht="67.5" hidden="false" customHeight="true" outlineLevel="0" collapsed="false">
      <c r="A53" s="2" t="s">
        <v>434</v>
      </c>
      <c r="B53" s="3" t="s">
        <v>435</v>
      </c>
      <c r="C53" s="2" t="s">
        <v>325</v>
      </c>
      <c r="D53" s="3" t="s">
        <v>436</v>
      </c>
      <c r="E53" s="2" t="s">
        <v>18</v>
      </c>
      <c r="F53" s="3" t="s">
        <v>437</v>
      </c>
      <c r="G53" s="2" t="s">
        <v>20</v>
      </c>
      <c r="H53" s="4" t="s">
        <v>39</v>
      </c>
      <c r="I53" s="3" t="s">
        <v>438</v>
      </c>
      <c r="J53" s="2" t="s">
        <v>23</v>
      </c>
      <c r="K53" s="3" t="s">
        <v>439</v>
      </c>
      <c r="L53" s="2" t="n">
        <v>4</v>
      </c>
      <c r="M53" s="5" t="s">
        <v>440</v>
      </c>
      <c r="N53" s="6" t="s">
        <v>441</v>
      </c>
    </row>
    <row r="54" customFormat="false" ht="67.5" hidden="false" customHeight="true" outlineLevel="0" collapsed="false">
      <c r="A54" s="2" t="s">
        <v>442</v>
      </c>
      <c r="B54" s="3" t="s">
        <v>443</v>
      </c>
      <c r="C54" s="2" t="s">
        <v>325</v>
      </c>
      <c r="D54" s="3" t="s">
        <v>444</v>
      </c>
      <c r="E54" s="2" t="s">
        <v>445</v>
      </c>
      <c r="F54" s="3" t="s">
        <v>446</v>
      </c>
      <c r="G54" s="2" t="s">
        <v>20</v>
      </c>
      <c r="H54" s="4" t="s">
        <v>318</v>
      </c>
      <c r="I54" s="3" t="s">
        <v>447</v>
      </c>
      <c r="J54" s="2" t="s">
        <v>23</v>
      </c>
      <c r="K54" s="3" t="s">
        <v>448</v>
      </c>
      <c r="L54" s="2" t="n">
        <v>5</v>
      </c>
      <c r="M54" s="5" t="s">
        <v>449</v>
      </c>
      <c r="N54" s="6" t="s">
        <v>450</v>
      </c>
    </row>
    <row r="55" customFormat="false" ht="67.5" hidden="false" customHeight="true" outlineLevel="0" collapsed="false">
      <c r="A55" s="2" t="s">
        <v>451</v>
      </c>
      <c r="B55" s="3" t="s">
        <v>452</v>
      </c>
      <c r="C55" s="2" t="s">
        <v>325</v>
      </c>
      <c r="D55" s="3" t="s">
        <v>453</v>
      </c>
      <c r="E55" s="2" t="s">
        <v>47</v>
      </c>
      <c r="F55" s="3" t="s">
        <v>454</v>
      </c>
      <c r="G55" s="2" t="s">
        <v>49</v>
      </c>
      <c r="H55" s="4" t="s">
        <v>21</v>
      </c>
      <c r="I55" s="3" t="s">
        <v>455</v>
      </c>
      <c r="J55" s="2" t="s">
        <v>23</v>
      </c>
      <c r="K55" s="3" t="s">
        <v>456</v>
      </c>
      <c r="L55" s="2" t="n">
        <v>5</v>
      </c>
      <c r="M55" s="5" t="s">
        <v>457</v>
      </c>
      <c r="N55" s="6" t="s">
        <v>458</v>
      </c>
    </row>
    <row r="56" customFormat="false" ht="67.5" hidden="false" customHeight="true" outlineLevel="0" collapsed="false">
      <c r="A56" s="2" t="s">
        <v>459</v>
      </c>
      <c r="B56" s="3" t="s">
        <v>460</v>
      </c>
      <c r="C56" s="2" t="s">
        <v>325</v>
      </c>
      <c r="D56" s="3" t="s">
        <v>461</v>
      </c>
      <c r="E56" s="2" t="s">
        <v>18</v>
      </c>
      <c r="F56" s="3" t="s">
        <v>462</v>
      </c>
      <c r="G56" s="2" t="s">
        <v>20</v>
      </c>
      <c r="H56" s="4" t="s">
        <v>318</v>
      </c>
      <c r="I56" s="3" t="s">
        <v>463</v>
      </c>
      <c r="J56" s="2" t="s">
        <v>76</v>
      </c>
      <c r="K56" s="3" t="s">
        <v>464</v>
      </c>
      <c r="L56" s="2" t="n">
        <v>4</v>
      </c>
      <c r="M56" s="5" t="s">
        <v>465</v>
      </c>
      <c r="N56" s="6" t="s">
        <v>466</v>
      </c>
    </row>
    <row r="57" customFormat="false" ht="67.5" hidden="false" customHeight="true" outlineLevel="0" collapsed="false">
      <c r="A57" s="2" t="s">
        <v>467</v>
      </c>
      <c r="B57" s="3" t="s">
        <v>468</v>
      </c>
      <c r="C57" s="2" t="s">
        <v>325</v>
      </c>
      <c r="D57" s="3" t="s">
        <v>469</v>
      </c>
      <c r="E57" s="2" t="s">
        <v>18</v>
      </c>
      <c r="F57" s="3" t="s">
        <v>470</v>
      </c>
      <c r="G57" s="2" t="s">
        <v>20</v>
      </c>
      <c r="H57" s="4" t="s">
        <v>318</v>
      </c>
      <c r="I57" s="3" t="s">
        <v>471</v>
      </c>
      <c r="J57" s="2" t="s">
        <v>23</v>
      </c>
      <c r="K57" s="3" t="s">
        <v>472</v>
      </c>
      <c r="L57" s="2" t="n">
        <v>3</v>
      </c>
      <c r="M57" s="5" t="s">
        <v>473</v>
      </c>
      <c r="N57" s="6" t="s">
        <v>474</v>
      </c>
    </row>
    <row r="58" customFormat="false" ht="67.5" hidden="false" customHeight="true" outlineLevel="0" collapsed="false">
      <c r="A58" s="2" t="s">
        <v>475</v>
      </c>
      <c r="B58" s="3" t="s">
        <v>476</v>
      </c>
      <c r="C58" s="2" t="s">
        <v>325</v>
      </c>
      <c r="D58" s="3" t="s">
        <v>477</v>
      </c>
      <c r="E58" s="2" t="s">
        <v>18</v>
      </c>
      <c r="F58" s="3" t="s">
        <v>478</v>
      </c>
      <c r="G58" s="2" t="s">
        <v>20</v>
      </c>
      <c r="H58" s="4" t="s">
        <v>67</v>
      </c>
      <c r="I58" s="3" t="s">
        <v>479</v>
      </c>
      <c r="J58" s="2" t="s">
        <v>23</v>
      </c>
      <c r="K58" s="3" t="s">
        <v>480</v>
      </c>
      <c r="L58" s="2" t="n">
        <v>3</v>
      </c>
      <c r="M58" s="5" t="s">
        <v>481</v>
      </c>
      <c r="N58" s="6" t="s">
        <v>482</v>
      </c>
    </row>
    <row r="59" customFormat="false" ht="67.5" hidden="false" customHeight="true" outlineLevel="0" collapsed="false">
      <c r="A59" s="2" t="s">
        <v>483</v>
      </c>
      <c r="B59" s="3" t="s">
        <v>484</v>
      </c>
      <c r="C59" s="2" t="s">
        <v>485</v>
      </c>
      <c r="D59" s="3" t="s">
        <v>486</v>
      </c>
      <c r="E59" s="2" t="s">
        <v>18</v>
      </c>
      <c r="F59" s="3" t="s">
        <v>487</v>
      </c>
      <c r="G59" s="2" t="s">
        <v>49</v>
      </c>
      <c r="H59" s="4" t="s">
        <v>39</v>
      </c>
      <c r="I59" s="3" t="s">
        <v>488</v>
      </c>
      <c r="J59" s="2" t="s">
        <v>23</v>
      </c>
      <c r="K59" s="3" t="s">
        <v>489</v>
      </c>
      <c r="L59" s="2" t="n">
        <v>4</v>
      </c>
      <c r="M59" s="5" t="s">
        <v>490</v>
      </c>
      <c r="N59" s="6" t="s">
        <v>491</v>
      </c>
    </row>
    <row r="60" customFormat="false" ht="67.5" hidden="false" customHeight="true" outlineLevel="0" collapsed="false">
      <c r="A60" s="2" t="s">
        <v>492</v>
      </c>
      <c r="B60" s="3" t="s">
        <v>493</v>
      </c>
      <c r="C60" s="2" t="s">
        <v>485</v>
      </c>
      <c r="D60" s="3" t="s">
        <v>494</v>
      </c>
      <c r="E60" s="2" t="s">
        <v>57</v>
      </c>
      <c r="F60" s="3" t="s">
        <v>495</v>
      </c>
      <c r="G60" s="2" t="s">
        <v>49</v>
      </c>
      <c r="H60" s="4" t="s">
        <v>59</v>
      </c>
      <c r="I60" s="3" t="s">
        <v>496</v>
      </c>
      <c r="J60" s="2" t="s">
        <v>23</v>
      </c>
      <c r="K60" s="3" t="s">
        <v>497</v>
      </c>
      <c r="L60" s="2" t="n">
        <v>3</v>
      </c>
      <c r="M60" s="5" t="s">
        <v>498</v>
      </c>
      <c r="N60" s="6" t="s">
        <v>499</v>
      </c>
    </row>
    <row r="61" customFormat="false" ht="67.5" hidden="false" customHeight="true" outlineLevel="0" collapsed="false">
      <c r="A61" s="2" t="s">
        <v>500</v>
      </c>
      <c r="B61" s="3" t="s">
        <v>501</v>
      </c>
      <c r="C61" s="2" t="s">
        <v>485</v>
      </c>
      <c r="D61" s="3" t="s">
        <v>502</v>
      </c>
      <c r="E61" s="2" t="s">
        <v>57</v>
      </c>
      <c r="F61" s="3" t="s">
        <v>503</v>
      </c>
      <c r="G61" s="2" t="s">
        <v>49</v>
      </c>
      <c r="H61" s="4" t="s">
        <v>67</v>
      </c>
      <c r="I61" s="3" t="s">
        <v>504</v>
      </c>
      <c r="J61" s="2" t="s">
        <v>23</v>
      </c>
      <c r="K61" s="3" t="s">
        <v>505</v>
      </c>
      <c r="L61" s="2" t="n">
        <v>4</v>
      </c>
      <c r="M61" s="5" t="s">
        <v>506</v>
      </c>
      <c r="N61" s="6" t="s">
        <v>507</v>
      </c>
    </row>
    <row r="62" customFormat="false" ht="67.5" hidden="false" customHeight="true" outlineLevel="0" collapsed="false">
      <c r="A62" s="2" t="s">
        <v>508</v>
      </c>
      <c r="B62" s="3" t="s">
        <v>509</v>
      </c>
      <c r="C62" s="2" t="s">
        <v>325</v>
      </c>
      <c r="D62" s="3" t="s">
        <v>510</v>
      </c>
      <c r="E62" s="2" t="s">
        <v>57</v>
      </c>
      <c r="F62" s="3" t="s">
        <v>511</v>
      </c>
      <c r="G62" s="2" t="s">
        <v>49</v>
      </c>
      <c r="H62" s="4" t="s">
        <v>318</v>
      </c>
      <c r="I62" s="3" t="s">
        <v>512</v>
      </c>
      <c r="J62" s="2" t="s">
        <v>23</v>
      </c>
      <c r="K62" s="3" t="s">
        <v>513</v>
      </c>
      <c r="L62" s="2" t="n">
        <v>3</v>
      </c>
      <c r="M62" s="5" t="s">
        <v>514</v>
      </c>
      <c r="N62" s="6" t="s">
        <v>515</v>
      </c>
    </row>
    <row r="63" customFormat="false" ht="67.5" hidden="false" customHeight="true" outlineLevel="0" collapsed="false">
      <c r="A63" s="2" t="s">
        <v>516</v>
      </c>
      <c r="B63" s="3" t="s">
        <v>517</v>
      </c>
      <c r="C63" s="2" t="s">
        <v>518</v>
      </c>
      <c r="D63" s="3" t="s">
        <v>519</v>
      </c>
      <c r="E63" s="2" t="s">
        <v>445</v>
      </c>
      <c r="F63" s="3" t="s">
        <v>520</v>
      </c>
      <c r="G63" s="2" t="s">
        <v>20</v>
      </c>
      <c r="H63" s="4" t="s">
        <v>318</v>
      </c>
      <c r="I63" s="3" t="s">
        <v>521</v>
      </c>
      <c r="J63" s="2" t="s">
        <v>23</v>
      </c>
      <c r="K63" s="3" t="s">
        <v>522</v>
      </c>
      <c r="L63" s="2" t="n">
        <v>3</v>
      </c>
      <c r="M63" s="5" t="s">
        <v>523</v>
      </c>
      <c r="N63" s="6" t="s">
        <v>524</v>
      </c>
    </row>
    <row r="64" customFormat="false" ht="67.5" hidden="false" customHeight="true" outlineLevel="0" collapsed="false">
      <c r="A64" s="2" t="s">
        <v>525</v>
      </c>
      <c r="B64" s="3" t="s">
        <v>526</v>
      </c>
      <c r="C64" s="2" t="s">
        <v>518</v>
      </c>
      <c r="D64" s="3" t="s">
        <v>527</v>
      </c>
      <c r="E64" s="2" t="s">
        <v>445</v>
      </c>
      <c r="F64" s="3" t="s">
        <v>528</v>
      </c>
      <c r="G64" s="2" t="s">
        <v>20</v>
      </c>
      <c r="H64" s="4" t="s">
        <v>318</v>
      </c>
      <c r="I64" s="3" t="s">
        <v>529</v>
      </c>
      <c r="J64" s="2" t="s">
        <v>23</v>
      </c>
      <c r="K64" s="3" t="s">
        <v>530</v>
      </c>
      <c r="L64" s="2" t="n">
        <v>3</v>
      </c>
      <c r="M64" s="5" t="s">
        <v>531</v>
      </c>
      <c r="N64" s="6" t="s">
        <v>532</v>
      </c>
    </row>
    <row r="65" customFormat="false" ht="67.5" hidden="false" customHeight="true" outlineLevel="0" collapsed="false">
      <c r="A65" s="2" t="s">
        <v>533</v>
      </c>
      <c r="B65" s="3" t="s">
        <v>534</v>
      </c>
      <c r="C65" s="2" t="s">
        <v>325</v>
      </c>
      <c r="D65" s="3" t="s">
        <v>535</v>
      </c>
      <c r="E65" s="2" t="s">
        <v>57</v>
      </c>
      <c r="F65" s="3" t="s">
        <v>536</v>
      </c>
      <c r="G65" s="2" t="s">
        <v>20</v>
      </c>
      <c r="H65" s="4" t="s">
        <v>318</v>
      </c>
      <c r="I65" s="3" t="s">
        <v>537</v>
      </c>
      <c r="J65" s="2" t="s">
        <v>23</v>
      </c>
      <c r="K65" s="3" t="s">
        <v>538</v>
      </c>
      <c r="L65" s="2" t="n">
        <v>5</v>
      </c>
      <c r="M65" s="5" t="s">
        <v>539</v>
      </c>
      <c r="N65" s="6" t="s">
        <v>540</v>
      </c>
    </row>
    <row r="66" customFormat="false" ht="67.5" hidden="false" customHeight="true" outlineLevel="0" collapsed="false">
      <c r="A66" s="2" t="s">
        <v>541</v>
      </c>
      <c r="B66" s="3" t="s">
        <v>542</v>
      </c>
      <c r="C66" s="2" t="s">
        <v>325</v>
      </c>
      <c r="D66" s="3" t="s">
        <v>543</v>
      </c>
      <c r="E66" s="2" t="s">
        <v>18</v>
      </c>
      <c r="F66" s="3" t="s">
        <v>544</v>
      </c>
      <c r="G66" s="2" t="s">
        <v>20</v>
      </c>
      <c r="H66" s="4" t="s">
        <v>318</v>
      </c>
      <c r="I66" s="3" t="s">
        <v>545</v>
      </c>
      <c r="J66" s="2" t="s">
        <v>23</v>
      </c>
      <c r="K66" s="3" t="s">
        <v>546</v>
      </c>
      <c r="L66" s="2" t="n">
        <v>4</v>
      </c>
      <c r="M66" s="5" t="s">
        <v>547</v>
      </c>
      <c r="N66" s="6" t="s">
        <v>548</v>
      </c>
    </row>
    <row r="67" customFormat="false" ht="67.5" hidden="false" customHeight="true" outlineLevel="0" collapsed="false">
      <c r="A67" s="2" t="s">
        <v>549</v>
      </c>
      <c r="B67" s="3" t="s">
        <v>550</v>
      </c>
      <c r="C67" s="2" t="s">
        <v>518</v>
      </c>
      <c r="D67" s="3" t="s">
        <v>551</v>
      </c>
      <c r="E67" s="2" t="s">
        <v>57</v>
      </c>
      <c r="F67" s="3" t="s">
        <v>552</v>
      </c>
      <c r="G67" s="2" t="s">
        <v>113</v>
      </c>
      <c r="H67" s="4" t="s">
        <v>318</v>
      </c>
      <c r="I67" s="3" t="s">
        <v>553</v>
      </c>
      <c r="J67" s="2" t="s">
        <v>23</v>
      </c>
      <c r="K67" s="3" t="s">
        <v>554</v>
      </c>
      <c r="L67" s="2" t="n">
        <v>3</v>
      </c>
      <c r="M67" s="5" t="s">
        <v>555</v>
      </c>
      <c r="N67" s="6" t="s">
        <v>556</v>
      </c>
    </row>
    <row r="68" customFormat="false" ht="67.5" hidden="false" customHeight="true" outlineLevel="0" collapsed="false">
      <c r="A68" s="2" t="s">
        <v>557</v>
      </c>
      <c r="B68" s="3" t="s">
        <v>558</v>
      </c>
      <c r="C68" s="2" t="s">
        <v>518</v>
      </c>
      <c r="D68" s="3" t="s">
        <v>559</v>
      </c>
      <c r="E68" s="2" t="s">
        <v>560</v>
      </c>
      <c r="F68" s="3" t="s">
        <v>561</v>
      </c>
      <c r="G68" s="2" t="s">
        <v>49</v>
      </c>
      <c r="H68" s="4" t="s">
        <v>562</v>
      </c>
      <c r="I68" s="3" t="s">
        <v>563</v>
      </c>
      <c r="J68" s="2" t="s">
        <v>23</v>
      </c>
      <c r="K68" s="3" t="s">
        <v>564</v>
      </c>
      <c r="L68" s="2" t="n">
        <v>5</v>
      </c>
      <c r="M68" s="5" t="s">
        <v>565</v>
      </c>
      <c r="N68" s="6" t="s">
        <v>566</v>
      </c>
    </row>
    <row r="69" customFormat="false" ht="67.5" hidden="false" customHeight="true" outlineLevel="0" collapsed="false">
      <c r="A69" s="2" t="s">
        <v>567</v>
      </c>
      <c r="B69" s="3" t="s">
        <v>568</v>
      </c>
      <c r="C69" s="2" t="s">
        <v>518</v>
      </c>
      <c r="D69" s="3" t="s">
        <v>569</v>
      </c>
      <c r="E69" s="2" t="s">
        <v>570</v>
      </c>
      <c r="F69" s="3" t="s">
        <v>571</v>
      </c>
      <c r="G69" s="2" t="s">
        <v>49</v>
      </c>
      <c r="H69" s="4" t="s">
        <v>30</v>
      </c>
      <c r="I69" s="3" t="s">
        <v>572</v>
      </c>
      <c r="J69" s="2" t="s">
        <v>23</v>
      </c>
      <c r="K69" s="3" t="s">
        <v>573</v>
      </c>
      <c r="L69" s="2" t="n">
        <v>5</v>
      </c>
      <c r="M69" s="5" t="s">
        <v>574</v>
      </c>
      <c r="N69" s="6" t="s">
        <v>575</v>
      </c>
    </row>
    <row r="70" customFormat="false" ht="67.5" hidden="false" customHeight="true" outlineLevel="0" collapsed="false">
      <c r="A70" s="2" t="s">
        <v>576</v>
      </c>
      <c r="B70" s="3" t="s">
        <v>577</v>
      </c>
      <c r="C70" s="2" t="s">
        <v>518</v>
      </c>
      <c r="D70" s="3" t="s">
        <v>578</v>
      </c>
      <c r="E70" s="2" t="s">
        <v>18</v>
      </c>
      <c r="F70" s="3" t="s">
        <v>579</v>
      </c>
      <c r="G70" s="2" t="s">
        <v>113</v>
      </c>
      <c r="H70" s="4" t="s">
        <v>30</v>
      </c>
      <c r="I70" s="3" t="s">
        <v>580</v>
      </c>
      <c r="J70" s="2" t="s">
        <v>23</v>
      </c>
      <c r="K70" s="3" t="s">
        <v>581</v>
      </c>
      <c r="L70" s="2" t="n">
        <v>4</v>
      </c>
      <c r="M70" s="5" t="s">
        <v>582</v>
      </c>
      <c r="N70" s="6" t="s">
        <v>583</v>
      </c>
    </row>
    <row r="71" customFormat="false" ht="67.5" hidden="false" customHeight="true" outlineLevel="0" collapsed="false">
      <c r="A71" s="2" t="s">
        <v>584</v>
      </c>
      <c r="B71" s="3" t="s">
        <v>585</v>
      </c>
      <c r="C71" s="2" t="s">
        <v>586</v>
      </c>
      <c r="D71" s="3" t="s">
        <v>587</v>
      </c>
      <c r="E71" s="2" t="s">
        <v>588</v>
      </c>
      <c r="F71" s="3" t="s">
        <v>589</v>
      </c>
      <c r="G71" s="2" t="s">
        <v>49</v>
      </c>
      <c r="H71" s="4" t="s">
        <v>590</v>
      </c>
      <c r="I71" s="3" t="s">
        <v>591</v>
      </c>
      <c r="J71" s="2" t="s">
        <v>23</v>
      </c>
      <c r="K71" s="3" t="s">
        <v>592</v>
      </c>
      <c r="L71" s="2" t="n">
        <v>5</v>
      </c>
      <c r="M71" s="5" t="s">
        <v>593</v>
      </c>
      <c r="N71" s="6" t="s">
        <v>594</v>
      </c>
    </row>
    <row r="72" customFormat="false" ht="67.5" hidden="false" customHeight="true" outlineLevel="0" collapsed="false">
      <c r="A72" s="2" t="s">
        <v>595</v>
      </c>
      <c r="B72" s="3" t="s">
        <v>596</v>
      </c>
      <c r="C72" s="2" t="s">
        <v>518</v>
      </c>
      <c r="D72" s="3" t="s">
        <v>597</v>
      </c>
      <c r="E72" s="2" t="s">
        <v>570</v>
      </c>
      <c r="F72" s="3" t="s">
        <v>598</v>
      </c>
      <c r="G72" s="2" t="s">
        <v>49</v>
      </c>
      <c r="H72" s="4" t="s">
        <v>147</v>
      </c>
      <c r="I72" s="3" t="s">
        <v>599</v>
      </c>
      <c r="J72" s="2" t="s">
        <v>23</v>
      </c>
      <c r="K72" s="3" t="s">
        <v>600</v>
      </c>
      <c r="L72" s="2" t="n">
        <v>4</v>
      </c>
      <c r="M72" s="5" t="s">
        <v>601</v>
      </c>
      <c r="N72" s="6" t="s">
        <v>602</v>
      </c>
    </row>
    <row r="73" customFormat="false" ht="67.5" hidden="false" customHeight="true" outlineLevel="0" collapsed="false">
      <c r="A73" s="2" t="s">
        <v>603</v>
      </c>
      <c r="B73" s="3" t="s">
        <v>604</v>
      </c>
      <c r="C73" s="2" t="s">
        <v>518</v>
      </c>
      <c r="D73" s="3" t="s">
        <v>605</v>
      </c>
      <c r="E73" s="2" t="s">
        <v>57</v>
      </c>
      <c r="F73" s="3" t="s">
        <v>606</v>
      </c>
      <c r="G73" s="2" t="s">
        <v>49</v>
      </c>
      <c r="H73" s="4" t="s">
        <v>67</v>
      </c>
      <c r="I73" s="3" t="s">
        <v>607</v>
      </c>
      <c r="J73" s="2" t="s">
        <v>23</v>
      </c>
      <c r="K73" s="3" t="s">
        <v>608</v>
      </c>
      <c r="L73" s="2" t="n">
        <v>3</v>
      </c>
      <c r="M73" s="5" t="s">
        <v>609</v>
      </c>
      <c r="N73" s="6" t="s">
        <v>610</v>
      </c>
    </row>
    <row r="74" customFormat="false" ht="67.5" hidden="false" customHeight="true" outlineLevel="0" collapsed="false">
      <c r="A74" s="2" t="s">
        <v>611</v>
      </c>
      <c r="B74" s="3" t="s">
        <v>612</v>
      </c>
      <c r="C74" s="2" t="s">
        <v>586</v>
      </c>
      <c r="D74" s="3" t="s">
        <v>613</v>
      </c>
      <c r="E74" s="2" t="s">
        <v>18</v>
      </c>
      <c r="F74" s="3" t="s">
        <v>614</v>
      </c>
      <c r="G74" s="2" t="s">
        <v>113</v>
      </c>
      <c r="H74" s="4" t="s">
        <v>615</v>
      </c>
      <c r="I74" s="3" t="s">
        <v>616</v>
      </c>
      <c r="J74" s="2" t="s">
        <v>23</v>
      </c>
      <c r="K74" s="3" t="s">
        <v>617</v>
      </c>
      <c r="L74" s="2" t="n">
        <v>4</v>
      </c>
      <c r="M74" s="5" t="s">
        <v>618</v>
      </c>
      <c r="N74" s="6" t="s">
        <v>619</v>
      </c>
    </row>
    <row r="75" customFormat="false" ht="67.5" hidden="false" customHeight="true" outlineLevel="0" collapsed="false">
      <c r="A75" s="2" t="s">
        <v>620</v>
      </c>
      <c r="B75" s="3" t="s">
        <v>621</v>
      </c>
      <c r="C75" s="2" t="s">
        <v>586</v>
      </c>
      <c r="D75" s="3" t="s">
        <v>622</v>
      </c>
      <c r="E75" s="2" t="s">
        <v>18</v>
      </c>
      <c r="F75" s="3" t="s">
        <v>623</v>
      </c>
      <c r="G75" s="2" t="s">
        <v>113</v>
      </c>
      <c r="H75" s="4" t="s">
        <v>172</v>
      </c>
      <c r="I75" s="3" t="s">
        <v>624</v>
      </c>
      <c r="J75" s="2" t="s">
        <v>23</v>
      </c>
      <c r="K75" s="3" t="s">
        <v>625</v>
      </c>
      <c r="L75" s="2" t="n">
        <v>3</v>
      </c>
      <c r="M75" s="5" t="s">
        <v>626</v>
      </c>
      <c r="N75" s="6" t="s">
        <v>627</v>
      </c>
    </row>
    <row r="76" customFormat="false" ht="67.5" hidden="false" customHeight="true" outlineLevel="0" collapsed="false">
      <c r="A76" s="2" t="s">
        <v>628</v>
      </c>
      <c r="B76" s="3" t="s">
        <v>629</v>
      </c>
      <c r="C76" s="2" t="s">
        <v>518</v>
      </c>
      <c r="D76" s="3" t="s">
        <v>630</v>
      </c>
      <c r="E76" s="2" t="s">
        <v>631</v>
      </c>
      <c r="F76" s="3" t="s">
        <v>632</v>
      </c>
      <c r="G76" s="2" t="s">
        <v>121</v>
      </c>
      <c r="H76" s="4" t="s">
        <v>59</v>
      </c>
      <c r="I76" s="3" t="s">
        <v>633</v>
      </c>
      <c r="J76" s="2" t="s">
        <v>123</v>
      </c>
      <c r="K76" s="3" t="s">
        <v>634</v>
      </c>
      <c r="L76" s="2" t="n">
        <v>1</v>
      </c>
      <c r="M76" s="5" t="s">
        <v>635</v>
      </c>
      <c r="N76" s="6" t="s">
        <v>636</v>
      </c>
    </row>
    <row r="77" customFormat="false" ht="67.5" hidden="false" customHeight="true" outlineLevel="0" collapsed="false">
      <c r="A77" s="2" t="s">
        <v>637</v>
      </c>
      <c r="B77" s="3" t="s">
        <v>638</v>
      </c>
      <c r="C77" s="2" t="s">
        <v>586</v>
      </c>
      <c r="D77" s="3" t="s">
        <v>639</v>
      </c>
      <c r="E77" s="2" t="s">
        <v>588</v>
      </c>
      <c r="F77" s="3" t="s">
        <v>640</v>
      </c>
      <c r="G77" s="2" t="s">
        <v>49</v>
      </c>
      <c r="H77" s="4" t="s">
        <v>67</v>
      </c>
      <c r="I77" s="3" t="s">
        <v>641</v>
      </c>
      <c r="J77" s="2" t="s">
        <v>23</v>
      </c>
      <c r="K77" s="3" t="s">
        <v>573</v>
      </c>
      <c r="L77" s="2" t="n">
        <v>3</v>
      </c>
      <c r="M77" s="5" t="s">
        <v>642</v>
      </c>
      <c r="N77" s="6" t="s">
        <v>643</v>
      </c>
    </row>
    <row r="78" customFormat="false" ht="67.5" hidden="false" customHeight="true" outlineLevel="0" collapsed="false">
      <c r="A78" s="2" t="s">
        <v>644</v>
      </c>
      <c r="B78" s="3" t="s">
        <v>645</v>
      </c>
      <c r="C78" s="2" t="s">
        <v>518</v>
      </c>
      <c r="D78" s="3" t="s">
        <v>646</v>
      </c>
      <c r="E78" s="2" t="s">
        <v>57</v>
      </c>
      <c r="F78" s="3" t="s">
        <v>647</v>
      </c>
      <c r="G78" s="2" t="s">
        <v>121</v>
      </c>
      <c r="H78" s="4" t="s">
        <v>122</v>
      </c>
      <c r="I78" s="3" t="s">
        <v>648</v>
      </c>
      <c r="J78" s="2" t="s">
        <v>76</v>
      </c>
      <c r="K78" s="3" t="s">
        <v>649</v>
      </c>
      <c r="L78" s="2" t="n">
        <v>1</v>
      </c>
      <c r="M78" s="5" t="s">
        <v>650</v>
      </c>
      <c r="N78" s="6" t="s">
        <v>651</v>
      </c>
    </row>
    <row r="79" customFormat="false" ht="67.5" hidden="false" customHeight="true" outlineLevel="0" collapsed="false">
      <c r="A79" s="2" t="s">
        <v>652</v>
      </c>
      <c r="B79" s="3" t="s">
        <v>653</v>
      </c>
      <c r="C79" s="2" t="s">
        <v>518</v>
      </c>
      <c r="D79" s="3" t="s">
        <v>654</v>
      </c>
      <c r="E79" s="2" t="s">
        <v>560</v>
      </c>
      <c r="F79" s="3" t="s">
        <v>655</v>
      </c>
      <c r="G79" s="2" t="s">
        <v>49</v>
      </c>
      <c r="H79" s="4" t="s">
        <v>30</v>
      </c>
      <c r="I79" s="3" t="s">
        <v>656</v>
      </c>
      <c r="J79" s="2" t="s">
        <v>23</v>
      </c>
      <c r="K79" s="3" t="s">
        <v>657</v>
      </c>
      <c r="L79" s="2" t="n">
        <v>3</v>
      </c>
      <c r="M79" s="5" t="s">
        <v>658</v>
      </c>
      <c r="N79" s="6" t="s">
        <v>659</v>
      </c>
    </row>
    <row r="80" customFormat="false" ht="67.5" hidden="false" customHeight="true" outlineLevel="0" collapsed="false">
      <c r="A80" s="2" t="s">
        <v>660</v>
      </c>
      <c r="B80" s="3" t="s">
        <v>661</v>
      </c>
      <c r="C80" s="2" t="s">
        <v>16</v>
      </c>
      <c r="D80" s="3" t="s">
        <v>662</v>
      </c>
      <c r="E80" s="2" t="s">
        <v>47</v>
      </c>
      <c r="F80" s="3" t="s">
        <v>663</v>
      </c>
      <c r="G80" s="2" t="s">
        <v>113</v>
      </c>
      <c r="H80" s="4" t="s">
        <v>59</v>
      </c>
      <c r="I80" s="3" t="s">
        <v>664</v>
      </c>
      <c r="J80" s="2" t="s">
        <v>23</v>
      </c>
      <c r="K80" s="3" t="s">
        <v>665</v>
      </c>
      <c r="L80" s="2" t="n">
        <v>2</v>
      </c>
      <c r="M80" s="5" t="s">
        <v>666</v>
      </c>
      <c r="N80" s="6" t="s">
        <v>667</v>
      </c>
    </row>
    <row r="81" customFormat="false" ht="67.5" hidden="false" customHeight="true" outlineLevel="0" collapsed="false">
      <c r="A81" s="2" t="s">
        <v>668</v>
      </c>
      <c r="B81" s="3" t="s">
        <v>669</v>
      </c>
      <c r="C81" s="2" t="s">
        <v>518</v>
      </c>
      <c r="D81" s="3" t="s">
        <v>670</v>
      </c>
      <c r="E81" s="2" t="s">
        <v>57</v>
      </c>
      <c r="F81" s="3" t="s">
        <v>671</v>
      </c>
      <c r="G81" s="2" t="s">
        <v>49</v>
      </c>
      <c r="H81" s="4" t="s">
        <v>172</v>
      </c>
      <c r="I81" s="3" t="s">
        <v>672</v>
      </c>
      <c r="J81" s="2" t="s">
        <v>23</v>
      </c>
      <c r="K81" s="3" t="s">
        <v>673</v>
      </c>
      <c r="L81" s="2" t="n">
        <v>3</v>
      </c>
      <c r="M81" s="5" t="s">
        <v>674</v>
      </c>
      <c r="N81" s="6" t="s">
        <v>675</v>
      </c>
    </row>
  </sheetData>
  <autoFilter ref="A1:N81"/>
  <conditionalFormatting sqref="J2:J81">
    <cfRule type="cellIs" priority="2" operator="equal" aboveAverage="0" equalAverage="0" bottom="0" percent="0" rank="0" text="" dxfId="22">
      <formula>"ACTIVE"</formula>
    </cfRule>
    <cfRule type="cellIs" priority="3" operator="equal" aboveAverage="0" equalAverage="0" bottom="0" percent="0" rank="0" text="" dxfId="23">
      <formula>"OPEN-DEADLINE"</formula>
    </cfRule>
    <cfRule type="cellIs" priority="4" operator="equal" aboveAverage="0" equalAverage="0" bottom="0" percent="0" rank="0" text="" dxfId="24">
      <formula>"PAUSED"</formula>
    </cfRule>
    <cfRule type="cellIs" priority="5" operator="equal" aboveAverage="0" equalAverage="0" bottom="0" percent="0" rank="0" text="" dxfId="25">
      <formula>"WATCH"</formula>
    </cfRule>
    <cfRule type="cellIs" priority="6" operator="equal" aboveAverage="0" equalAverage="0" bottom="0" percent="0" rank="0" text="" dxfId="26">
      <formula>"DEAD"</formula>
    </cfRule>
  </conditionalFormatting>
  <conditionalFormatting sqref="L2:L81">
    <cfRule type="cellIs" priority="7" operator="equal" aboveAverage="0" equalAverage="0" bottom="0" percent="0" rank="0" text="" dxfId="27">
      <formula>5</formula>
    </cfRule>
    <cfRule type="cellIs" priority="8" operator="equal" aboveAverage="0" equalAverage="0" bottom="0" percent="0" rank="0" text="" dxfId="28">
      <formula>4</formula>
    </cfRule>
    <cfRule type="cellIs" priority="9" operator="equal" aboveAverage="0" equalAverage="0" bottom="0" percent="0" rank="0" text="" dxfId="29">
      <formula>3</formula>
    </cfRule>
    <cfRule type="cellIs" priority="10" operator="equal" aboveAverage="0" equalAverage="0" bottom="0" percent="0" rank="0" text="" dxfId="30">
      <formula>2</formula>
    </cfRule>
    <cfRule type="cellIs" priority="11" operator="equal" aboveAverage="0" equalAverage="0" bottom="0" percent="0" rank="0" text="" dxfId="31">
      <formula>1</formula>
    </cfRule>
  </conditionalFormatting>
  <dataValidations count="5">
    <dataValidation allowBlank="false" errorStyle="stop" operator="between" showDropDown="false" showErrorMessage="false" showInputMessage="false" sqref="C2:C81" type="list">
      <formula1>"Federal,State,Municipal-utility,Private-foundation,Corporate"</formula1>
      <formula2>0</formula2>
    </dataValidation>
    <dataValidation allowBlank="false" errorStyle="stop" operator="between" showDropDown="false" showErrorMessage="false" showInputMessage="false" sqref="E2:E81" type="list">
      <formula1>"Grant,Sub-grant via partner,Loan,Loan guarantee,Prize,Accelerator,Recoverable grant,Equity-not-grant,Settlement fund"</formula1>
      <formula2>0</formula2>
    </dataValidation>
    <dataValidation allowBlank="false" errorStyle="stop" operator="between" showDropDown="false" showErrorMessage="false" showInputMessage="false" sqref="J2:J81" type="list">
      <formula1>"ACTIVE,OPEN-DEADLINE,PAUSED,WATCH,DEAD"</formula1>
      <formula2>0</formula2>
    </dataValidation>
    <dataValidation allowBlank="false" errorStyle="stop" operator="between" showDropDown="false" showErrorMessage="false" showInputMessage="false" sqref="L2:L81" type="list">
      <formula1>"1,2,3,4,5"</formula1>
      <formula2>0</formula2>
    </dataValidation>
    <dataValidation allowBlank="false" errorStyle="stop" operator="between" showDropDown="false" showErrorMessage="false" showInputMessage="false" sqref="G2:G81" type="list">
      <formula1>"Yes,No,No—via utility partner,No—via other partner"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60" workbookViewId="0">
      <pane xSplit="2" ySplit="1" topLeftCell="C2" activePane="bottomRight" state="frozen"/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44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32"/>
    <col collapsed="false" customWidth="true" hidden="false" outlineLevel="0" max="9" min="9" style="0" width="10"/>
    <col collapsed="false" customWidth="true" hidden="false" outlineLevel="0" max="10" min="10" style="0" width="80"/>
    <col collapsed="false" customWidth="true" hidden="false" outlineLevel="0" max="11" min="11" style="0" width="42"/>
  </cols>
  <sheetData>
    <row r="1" customFormat="false" ht="25.5" hidden="false" customHeight="true" outlineLevel="0" collapsed="false">
      <c r="A1" s="1" t="s">
        <v>676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677</v>
      </c>
      <c r="G1" s="1" t="s">
        <v>9</v>
      </c>
      <c r="H1" s="1" t="s">
        <v>10</v>
      </c>
      <c r="I1" s="1" t="s">
        <v>678</v>
      </c>
      <c r="J1" s="1" t="s">
        <v>679</v>
      </c>
      <c r="K1" s="1" t="s">
        <v>13</v>
      </c>
    </row>
    <row r="2" customFormat="false" ht="60" hidden="false" customHeight="true" outlineLevel="0" collapsed="false">
      <c r="A2" s="7" t="n">
        <v>1</v>
      </c>
      <c r="B2" s="7" t="str">
        <f aca="false">Register!A10</f>
        <v>G-009</v>
      </c>
      <c r="C2" s="8" t="str">
        <f aca="false">IFERROR(INDEX(Register!$B$2:$B$81,MATCH($B2,Register!$A$2:$A$81,0)),"")</f>
        <v>Desalination &amp; Water Purification Research (DWPR) NOFO</v>
      </c>
      <c r="D2" s="7" t="str">
        <f aca="false">IFERROR(INDEX(Register!$C$2:$C$81,MATCH($B2,Register!$A$2:$A$81,0)),"")</f>
        <v>Federal</v>
      </c>
      <c r="E2" s="8" t="str">
        <f aca="false">IFERROR(INDEX(Register!$D$2:$D$81,MATCH($B2,Register!$A$2:$A$81,0)),"")</f>
        <v>Bureau of Reclamation R&amp;D Office</v>
      </c>
      <c r="F2" s="8" t="str">
        <f aca="false">IFERROR(INDEX(Register!$F$2:$F$81,MATCH($B2,Register!$A$2:$A$81,0)),"")</f>
        <v>Lab-scale up to $300K federal; pilot-scale up to $800K federal; $5.7M total FY26</v>
      </c>
      <c r="G2" s="7" t="str">
        <f aca="false">IFERROR(INDEX(Register!$J$2:$J$81,MATCH($B2,Register!$A$2:$A$81,0)),"")</f>
        <v>OPEN-DEADLINE</v>
      </c>
      <c r="H2" s="8" t="str">
        <f aca="false">IFERROR(INDEX(Register!$K$2:$K$81,MATCH($B2,Register!$A$2:$A$81,0)),"")</f>
        <v>Due 4:00 p.m. MT September 29 2026 (posted Jul 29 2026)</v>
      </c>
      <c r="I2" s="9" t="n">
        <f aca="false">IFERROR(INDEX(Register!$L$2:$L$81,MATCH($B2,Register!$A$2:$A$81,0)),"")</f>
        <v>5</v>
      </c>
      <c r="J2" s="10" t="s">
        <v>680</v>
      </c>
      <c r="K2" s="6" t="str">
        <f aca="false">IFERROR(INDEX(Register!$N$2:$N$81,MATCH($B2,Register!$A$2:$A$81,0)),"")</f>
        <v>https://www.usbr.gov/research/dwpr/index.html</v>
      </c>
    </row>
    <row r="3" customFormat="false" ht="60" hidden="false" customHeight="true" outlineLevel="0" collapsed="false">
      <c r="A3" s="7" t="n">
        <v>2</v>
      </c>
      <c r="B3" s="7" t="str">
        <f aca="false">Register!A37</f>
        <v>G-036</v>
      </c>
      <c r="C3" s="8" t="str">
        <f aca="false">IFERROR(INDEX(Register!$B$2:$B$81,MATCH($B3,Register!$A$2:$A$81,0)),"")</f>
        <v>ONR Long-Range BAA N0001425SB001 (Navy &amp; Marine Corps S&amp;T)</v>
      </c>
      <c r="D3" s="7" t="str">
        <f aca="false">IFERROR(INDEX(Register!$C$2:$C$81,MATCH($B3,Register!$A$2:$A$81,0)),"")</f>
        <v>Federal</v>
      </c>
      <c r="E3" s="8" t="str">
        <f aca="false">IFERROR(INDEX(Register!$D$2:$D$81,MATCH($B3,Register!$A$2:$A$81,0)),"")</f>
        <v>Office of Naval Research</v>
      </c>
      <c r="F3" s="8" t="str">
        <f aca="false">IFERROR(INDEX(Register!$F$2:$F$81,MATCH($B3,Register!$A$2:$A$81,0)),"")</f>
        <v>~$300K-$1M+/yr per effort, negotiated</v>
      </c>
      <c r="G3" s="7" t="str">
        <f aca="false">IFERROR(INDEX(Register!$J$2:$J$81,MATCH($B3,Register!$A$2:$A$81,0)),"")</f>
        <v>OPEN-DEADLINE</v>
      </c>
      <c r="H3" s="8" t="str">
        <f aca="false">IFERROR(INDEX(Register!$K$2:$K$81,MATCH($B3,Register!$A$2:$A$81,0)),"")</f>
        <v>Full proposals accepted through September 30 2026; white papers strongly encouraged first</v>
      </c>
      <c r="I3" s="9" t="n">
        <f aca="false">IFERROR(INDEX(Register!$L$2:$L$81,MATCH($B3,Register!$A$2:$A$81,0)),"")</f>
        <v>5</v>
      </c>
      <c r="J3" s="10" t="s">
        <v>681</v>
      </c>
      <c r="K3" s="6" t="str">
        <f aca="false">IFERROR(INDEX(Register!$N$2:$N$81,MATCH($B3,Register!$A$2:$A$81,0)),"")</f>
        <v>https://www.grants.gov/search-results-detail/356605</v>
      </c>
    </row>
    <row r="4" customFormat="false" ht="60" hidden="false" customHeight="true" outlineLevel="0" collapsed="false">
      <c r="A4" s="7" t="n">
        <v>3</v>
      </c>
      <c r="B4" s="7" t="str">
        <f aca="false">Register!A29</f>
        <v>G-028</v>
      </c>
      <c r="C4" s="8" t="str">
        <f aca="false">IFERROR(INDEX(Register!$B$2:$B$81,MATCH($B4,Register!$A$2:$A$81,0)),"")</f>
        <v>ESTCP demonstration/validation (Installation Energy &amp; Water; Environmental Restoration)</v>
      </c>
      <c r="D4" s="7" t="str">
        <f aca="false">IFERROR(INDEX(Register!$C$2:$C$81,MATCH($B4,Register!$A$2:$A$81,0)),"")</f>
        <v>Federal</v>
      </c>
      <c r="E4" s="8" t="str">
        <f aca="false">IFERROR(INDEX(Register!$D$2:$D$81,MATCH($B4,Register!$A$2:$A$81,0)),"")</f>
        <v>ODASD (Energy Resilience &amp; Optimization)</v>
      </c>
      <c r="F4" s="8" t="str">
        <f aca="false">IFERROR(INDEX(Register!$F$2:$F$81,MATCH($B4,Register!$A$2:$A$81,0)),"")</f>
        <v>~$0.5M-$3M+ per demonstration (~3 yrs)</v>
      </c>
      <c r="G4" s="7" t="str">
        <f aca="false">IFERROR(INDEX(Register!$J$2:$J$81,MATCH($B4,Register!$A$2:$A$81,0)),"")</f>
        <v>ACTIVE</v>
      </c>
      <c r="H4" s="8" t="str">
        <f aca="false">IFERROR(INDEX(Register!$K$2:$K$81,MATCH($B4,Register!$A$2:$A$81,0)),"")</f>
        <v>FY28 solicitations expected ~Dec 2026-Jan 2027, pre-proposals ~Mar 2027 (FY27 in selection Sept 2026)</v>
      </c>
      <c r="I4" s="9" t="n">
        <f aca="false">IFERROR(INDEX(Register!$L$2:$L$81,MATCH($B4,Register!$A$2:$A$81,0)),"")</f>
        <v>5</v>
      </c>
      <c r="J4" s="10" t="s">
        <v>682</v>
      </c>
      <c r="K4" s="6" t="str">
        <f aca="false">IFERROR(INDEX(Register!$N$2:$N$81,MATCH($B4,Register!$A$2:$A$81,0)),"")</f>
        <v>https://www.serdp-estcp.org/Funding-Opportunities/ESTCP-Solicitations</v>
      </c>
    </row>
    <row r="5" customFormat="false" ht="60" hidden="false" customHeight="true" outlineLevel="0" collapsed="false">
      <c r="A5" s="7" t="n">
        <v>4</v>
      </c>
      <c r="B5" s="7" t="str">
        <f aca="false">Register!A28</f>
        <v>G-027</v>
      </c>
      <c r="C5" s="8" t="str">
        <f aca="false">IFERROR(INDEX(Register!$B$2:$B$81,MATCH($B5,Register!$A$2:$A$81,0)),"")</f>
        <v>SERDP Core BAA (Strategic Environmental Research and Development Program)</v>
      </c>
      <c r="D5" s="7" t="str">
        <f aca="false">IFERROR(INDEX(Register!$C$2:$C$81,MATCH($B5,Register!$A$2:$A$81,0)),"")</f>
        <v>Federal</v>
      </c>
      <c r="E5" s="8" t="str">
        <f aca="false">IFERROR(INDEX(Register!$D$2:$D$81,MATCH($B5,Register!$A$2:$A$81,0)),"")</f>
        <v>OUSD(R&amp;E) / SERDP-ESTCP program office</v>
      </c>
      <c r="F5" s="8" t="str">
        <f aca="false">IFERROR(INDEX(Register!$F$2:$F$81,MATCH($B5,Register!$A$2:$A$81,0)),"")</f>
        <v>~$1M-$3M over 3-4 yrs (core); SEED exploratory &lt;=$250K/1 yr</v>
      </c>
      <c r="G5" s="7" t="str">
        <f aca="false">IFERROR(INDEX(Register!$J$2:$J$81,MATCH($B5,Register!$A$2:$A$81,0)),"")</f>
        <v>WATCH</v>
      </c>
      <c r="H5" s="8" t="str">
        <f aca="false">IFERROR(INDEX(Register!$K$2:$K$81,MATCH($B5,Register!$A$2:$A$81,0)),"")</f>
        <v>FY28 solicitation expected ~Oct-Nov 2026 (FY27 pre-proposals closed Jan 13 2026)</v>
      </c>
      <c r="I5" s="9" t="n">
        <f aca="false">IFERROR(INDEX(Register!$L$2:$L$81,MATCH($B5,Register!$A$2:$A$81,0)),"")</f>
        <v>4</v>
      </c>
      <c r="J5" s="10" t="s">
        <v>683</v>
      </c>
      <c r="K5" s="6" t="str">
        <f aca="false">IFERROR(INDEX(Register!$N$2:$N$81,MATCH($B5,Register!$A$2:$A$81,0)),"")</f>
        <v>https://www.serdp-estcp.org/work-with-us</v>
      </c>
    </row>
    <row r="6" customFormat="false" ht="60" hidden="false" customHeight="true" outlineLevel="0" collapsed="false">
      <c r="A6" s="7" t="n">
        <v>5</v>
      </c>
      <c r="B6" s="7" t="str">
        <f aca="false">Register!A54</f>
        <v>G-053</v>
      </c>
      <c r="C6" s="8" t="str">
        <f aca="false">IFERROR(INDEX(Register!$B$2:$B$81,MATCH($B6,Register!$A$2:$A$81,0)),"")</f>
        <v>NJ PFAS Abatement Fund ($795M) via NJ Water Bank</v>
      </c>
      <c r="D6" s="7" t="str">
        <f aca="false">IFERROR(INDEX(Register!$C$2:$C$81,MATCH($B6,Register!$A$2:$A$81,0)),"")</f>
        <v>State</v>
      </c>
      <c r="E6" s="8" t="str">
        <f aca="false">IFERROR(INDEX(Register!$D$2:$D$81,MATCH($B6,Register!$A$2:$A$81,0)),"")</f>
        <v>NJDEP / NJ Water Bank</v>
      </c>
      <c r="F6" s="8" t="str">
        <f aca="false">IFERROR(INDEX(Register!$F$2:$F$81,MATCH($B6,Register!$A$2:$A$81,0)),"")</f>
        <v>$795M fund; &gt;=$150M to Water Bank for POTWs; &gt;=$90M to counties for AFFF sites; SFY26 IUPs ~$900M clean-water + ~$790M drinking-water baseline</v>
      </c>
      <c r="G6" s="7" t="str">
        <f aca="false">IFERROR(INDEX(Register!$J$2:$J$81,MATCH($B6,Register!$A$2:$A$81,0)),"")</f>
        <v>ACTIVE</v>
      </c>
      <c r="H6" s="8" t="str">
        <f aca="false">IFERROR(INDEX(Register!$K$2:$K$81,MATCH($B6,Register!$A$2:$A$81,0)),"")</f>
        <v>Program design rolling out post court approval (Aug 7 2026) - engage now</v>
      </c>
      <c r="I6" s="9" t="n">
        <f aca="false">IFERROR(INDEX(Register!$L$2:$L$81,MATCH($B6,Register!$A$2:$A$81,0)),"")</f>
        <v>5</v>
      </c>
      <c r="J6" s="10" t="s">
        <v>684</v>
      </c>
      <c r="K6" s="6" t="str">
        <f aca="false">IFERROR(INDEX(Register!$N$2:$N$81,MATCH($B6,Register!$A$2:$A$81,0)),"")</f>
        <v>https://dep.nj.gov/3m/</v>
      </c>
    </row>
    <row r="7" customFormat="false" ht="60" hidden="false" customHeight="true" outlineLevel="0" collapsed="false">
      <c r="A7" s="7" t="n">
        <v>6</v>
      </c>
      <c r="B7" s="7" t="str">
        <f aca="false">Register!A65</f>
        <v>G-064</v>
      </c>
      <c r="C7" s="8" t="str">
        <f aca="false">IFERROR(INDEX(Register!$B$2:$B$81,MATCH($B7,Register!$A$2:$A$81,0)),"")</f>
        <v>WI Acts 200/201 PFAS grant programs (&gt;$130M)</v>
      </c>
      <c r="D7" s="7" t="str">
        <f aca="false">IFERROR(INDEX(Register!$C$2:$C$81,MATCH($B7,Register!$A$2:$A$81,0)),"")</f>
        <v>State</v>
      </c>
      <c r="E7" s="8" t="str">
        <f aca="false">IFERROR(INDEX(Register!$D$2:$D$81,MATCH($B7,Register!$A$2:$A$81,0)),"")</f>
        <v>Wisconsin DNR</v>
      </c>
      <c r="F7" s="8" t="str">
        <f aca="false">IFERROR(INDEX(Register!$F$2:$F$81,MATCH($B7,Register!$A$2:$A$81,0)),"")</f>
        <v>Community/municipal PFAS grants (~20% match); Airport &amp; Industrial Possessor grants; landfill leachate/biosolids treatment grants; well compensation</v>
      </c>
      <c r="G7" s="7" t="str">
        <f aca="false">IFERROR(INDEX(Register!$J$2:$J$81,MATCH($B7,Register!$A$2:$A$81,0)),"")</f>
        <v>ACTIVE</v>
      </c>
      <c r="H7" s="8" t="str">
        <f aca="false">IFERROR(INDEX(Register!$K$2:$K$81,MATCH($B7,Register!$A$2:$A$81,0)),"")</f>
        <v>Launching summer 2026 - winter 2026 (sampling grants first)</v>
      </c>
      <c r="I7" s="9" t="n">
        <f aca="false">IFERROR(INDEX(Register!$L$2:$L$81,MATCH($B7,Register!$A$2:$A$81,0)),"")</f>
        <v>5</v>
      </c>
      <c r="J7" s="10" t="s">
        <v>685</v>
      </c>
      <c r="K7" s="6" t="str">
        <f aca="false">IFERROR(INDEX(Register!$N$2:$N$81,MATCH($B7,Register!$A$2:$A$81,0)),"")</f>
        <v>https://content.govdelivery.com/accounts/WIDNR/bulletins/411b1f6</v>
      </c>
    </row>
    <row r="8" customFormat="false" ht="60" hidden="false" customHeight="true" outlineLevel="0" collapsed="false">
      <c r="A8" s="7" t="n">
        <v>7</v>
      </c>
      <c r="B8" s="7" t="str">
        <f aca="false">Register!A51</f>
        <v>G-050</v>
      </c>
      <c r="C8" s="8" t="str">
        <f aca="false">IFERROR(INDEX(Register!$B$2:$B$81,MATCH($B8,Register!$A$2:$A$81,0)),"")</f>
        <v>NYSERDA Waste-to-Low-Carbon-Fuels Pilot &amp; Demonstration (+ July 2026 $8M alternative-fuels round)</v>
      </c>
      <c r="D8" s="7" t="str">
        <f aca="false">IFERROR(INDEX(Register!$C$2:$C$81,MATCH($B8,Register!$A$2:$A$81,0)),"")</f>
        <v>State</v>
      </c>
      <c r="E8" s="8" t="str">
        <f aca="false">IFERROR(INDEX(Register!$D$2:$D$81,MATCH($B8,Register!$A$2:$A$81,0)),"")</f>
        <v>NYSERDA</v>
      </c>
      <c r="F8" s="8" t="str">
        <f aca="false">IFERROR(INDEX(Register!$F$2:$F$81,MATCH($B8,Register!$A$2:$A$81,0)),"")</f>
        <v>~$8M solicitations; &gt;=50% non-NYSERDA cost share; 3-phase pilot-&gt;demo structure</v>
      </c>
      <c r="G8" s="7" t="str">
        <f aca="false">IFERROR(INDEX(Register!$J$2:$J$81,MATCH($B8,Register!$A$2:$A$81,0)),"")</f>
        <v>ACTIVE</v>
      </c>
      <c r="H8" s="8" t="str">
        <f aca="false">IFERROR(INDEX(Register!$K$2:$K$81,MATCH($B8,Register!$A$2:$A$81,0)),"")</f>
        <v>2025 solicitation (Aug 2025) + $8M round announced Jul 21 2026 under PSC Innovation &amp; Research Order</v>
      </c>
      <c r="I8" s="9" t="n">
        <f aca="false">IFERROR(INDEX(Register!$L$2:$L$81,MATCH($B8,Register!$A$2:$A$81,0)),"")</f>
        <v>4</v>
      </c>
      <c r="J8" s="10" t="s">
        <v>686</v>
      </c>
      <c r="K8" s="6" t="str">
        <f aca="false">IFERROR(INDEX(Register!$N$2:$N$81,MATCH($B8,Register!$A$2:$A$81,0)),"")</f>
        <v>https://www.nyserda.ny.gov/</v>
      </c>
    </row>
    <row r="9" customFormat="false" ht="60" hidden="false" customHeight="true" outlineLevel="0" collapsed="false">
      <c r="A9" s="7" t="n">
        <v>8</v>
      </c>
      <c r="B9" s="7" t="str">
        <f aca="false">Register!A47</f>
        <v>G-046</v>
      </c>
      <c r="C9" s="8" t="str">
        <f aca="false">IFERROR(INDEX(Register!$B$2:$B$81,MATCH($B9,Register!$A$2:$A$81,0)),"")</f>
        <v>AZ WIFA Long-Term Water Augmentation Fund - In-State Water Augmentation cycle</v>
      </c>
      <c r="D9" s="7" t="str">
        <f aca="false">IFERROR(INDEX(Register!$C$2:$C$81,MATCH($B9,Register!$A$2:$A$81,0)),"")</f>
        <v>State</v>
      </c>
      <c r="E9" s="8" t="str">
        <f aca="false">IFERROR(INDEX(Register!$D$2:$D$81,MATCH($B9,Register!$A$2:$A$81,0)),"")</f>
        <v>Arizona Water Infrastructure Finance Authority</v>
      </c>
      <c r="F9" s="8" t="str">
        <f aca="false">IFERROR(INDEX(Register!$F$2:$F$81,MATCH($B9,Register!$A$2:$A$81,0)),"")</f>
        <v>Fund balance ~$376M (post FY26 clawback); awards &gt;$50M require Joint Legislative Water Committee review</v>
      </c>
      <c r="G9" s="7" t="str">
        <f aca="false">IFERROR(INDEX(Register!$J$2:$J$81,MATCH($B9,Register!$A$2:$A$81,0)),"")</f>
        <v>ACTIVE</v>
      </c>
      <c r="H9" s="8" t="str">
        <f aca="false">IFERROR(INDEX(Register!$K$2:$K$81,MATCH($B9,Register!$A$2:$A$81,0)),"")</f>
        <v>In-State Water Augmentation funding cycle OPEN since Nov 17 2025</v>
      </c>
      <c r="I9" s="9" t="n">
        <f aca="false">IFERROR(INDEX(Register!$L$2:$L$81,MATCH($B9,Register!$A$2:$A$81,0)),"")</f>
        <v>5</v>
      </c>
      <c r="J9" s="10" t="s">
        <v>687</v>
      </c>
      <c r="K9" s="6" t="str">
        <f aca="false">IFERROR(INDEX(Register!$N$2:$N$81,MATCH($B9,Register!$A$2:$A$81,0)),"")</f>
        <v>https://wifa.az.gov/</v>
      </c>
    </row>
    <row r="10" customFormat="false" ht="60" hidden="false" customHeight="true" outlineLevel="0" collapsed="false">
      <c r="A10" s="7" t="n">
        <v>9</v>
      </c>
      <c r="B10" s="7" t="str">
        <f aca="false">Register!A55</f>
        <v>G-054</v>
      </c>
      <c r="C10" s="8" t="str">
        <f aca="false">IFERROR(INDEX(Register!$B$2:$B$81,MATCH($B10,Register!$A$2:$A$81,0)),"")</f>
        <v>PA PENNVEST (incl. Growing Greener / Act 13 WRPP as secondary channels)</v>
      </c>
      <c r="D10" s="7" t="str">
        <f aca="false">IFERROR(INDEX(Register!$C$2:$C$81,MATCH($B10,Register!$A$2:$A$81,0)),"")</f>
        <v>State</v>
      </c>
      <c r="E10" s="8" t="str">
        <f aca="false">IFERROR(INDEX(Register!$D$2:$D$81,MATCH($B10,Register!$A$2:$A$81,0)),"")</f>
        <v>PENNVEST</v>
      </c>
      <c r="F10" s="8" t="str">
        <f aca="false">IFERROR(INDEX(Register!$F$2:$F$81,MATCH($B10,Register!$A$2:$A$81,0)),"")</f>
        <v>Up to $11M/project ($20M multi-municipality; board can exceed for regional consolidation); grant + 1.7-2.2% loan blends</v>
      </c>
      <c r="G10" s="7" t="str">
        <f aca="false">IFERROR(INDEX(Register!$J$2:$J$81,MATCH($B10,Register!$A$2:$A$81,0)),"")</f>
        <v>ACTIVE</v>
      </c>
      <c r="H10" s="8" t="str">
        <f aca="false">IFERROR(INDEX(Register!$K$2:$K$81,MATCH($B10,Register!$A$2:$A$81,0)),"")</f>
        <v>Rolling applications; quarterly board-meeting cutoffs</v>
      </c>
      <c r="I10" s="9" t="n">
        <f aca="false">IFERROR(INDEX(Register!$L$2:$L$81,MATCH($B10,Register!$A$2:$A$81,0)),"")</f>
        <v>5</v>
      </c>
      <c r="J10" s="10" t="s">
        <v>688</v>
      </c>
      <c r="K10" s="6" t="str">
        <f aca="false">IFERROR(INDEX(Register!$N$2:$N$81,MATCH($B10,Register!$A$2:$A$81,0)),"")</f>
        <v>https://dced.pa.gov/programs/pennsylvania-infrastructure-investment-authority-pennvest/</v>
      </c>
    </row>
    <row r="11" customFormat="false" ht="60" hidden="false" customHeight="true" outlineLevel="0" collapsed="false">
      <c r="A11" s="7" t="n">
        <v>10</v>
      </c>
      <c r="B11" s="7" t="str">
        <f aca="false">Register!A68</f>
        <v>G-067</v>
      </c>
      <c r="C11" s="8" t="str">
        <f aca="false">IFERROR(INDEX(Register!$B$2:$B$81,MATCH($B11,Register!$A$2:$A$81,0)),"")</f>
        <v>Imagine H2O Global Accelerator (incl. Asia track)</v>
      </c>
      <c r="D11" s="7" t="str">
        <f aca="false">IFERROR(INDEX(Register!$C$2:$C$81,MATCH($B11,Register!$A$2:$A$81,0)),"")</f>
        <v>Private-foundation</v>
      </c>
      <c r="E11" s="8" t="str">
        <f aca="false">IFERROR(INDEX(Register!$D$2:$D$81,MATCH($B11,Register!$A$2:$A$81,0)),"")</f>
        <v>Imagine H2O</v>
      </c>
      <c r="F11" s="8" t="str">
        <f aca="false">IFERROR(INDEX(Register!$F$2:$F$81,MATCH($B11,Register!$A$2:$A$81,0)),"")</f>
        <v>Zero-equity; ~$25K non-dilutive award + mentorship/network</v>
      </c>
      <c r="G11" s="7" t="str">
        <f aca="false">IFERROR(INDEX(Register!$J$2:$J$81,MATCH($B11,Register!$A$2:$A$81,0)),"")</f>
        <v>ACTIVE</v>
      </c>
      <c r="H11" s="8" t="str">
        <f aca="false">IFERROR(INDEX(Register!$K$2:$K$81,MATCH($B11,Register!$A$2:$A$81,0)),"")</f>
        <v>2027 cohort applications open November 2026, close December 2026; program Apr-Nov 2027</v>
      </c>
      <c r="I11" s="9" t="n">
        <f aca="false">IFERROR(INDEX(Register!$L$2:$L$81,MATCH($B11,Register!$A$2:$A$81,0)),"")</f>
        <v>5</v>
      </c>
      <c r="J11" s="10" t="s">
        <v>689</v>
      </c>
      <c r="K11" s="6" t="str">
        <f aca="false">IFERROR(INDEX(Register!$N$2:$N$81,MATCH($B11,Register!$A$2:$A$81,0)),"")</f>
        <v>https://www.imagineh2o.org/apply/</v>
      </c>
    </row>
    <row r="12" customFormat="false" ht="60" hidden="false" customHeight="true" outlineLevel="0" collapsed="false">
      <c r="A12" s="7" t="n">
        <v>11</v>
      </c>
      <c r="B12" s="7" t="str">
        <f aca="false">Register!A71</f>
        <v>G-070</v>
      </c>
      <c r="C12" s="8" t="str">
        <f aca="false">IFERROR(INDEX(Register!$B$2:$B$81,MATCH($B12,Register!$A$2:$A$81,0)),"")</f>
        <v>Elemental Impact Data Center Innovation Initiative (DCII) + core Strategy/Project Tracks</v>
      </c>
      <c r="D12" s="7" t="str">
        <f aca="false">IFERROR(INDEX(Register!$C$2:$C$81,MATCH($B12,Register!$A$2:$A$81,0)),"")</f>
        <v>Corporate</v>
      </c>
      <c r="E12" s="8" t="str">
        <f aca="false">IFERROR(INDEX(Register!$D$2:$D$81,MATCH($B12,Register!$A$2:$A$81,0)),"")</f>
        <v>Elemental Impact (with Amazon, Google, Meta, Microsoft)</v>
      </c>
      <c r="F12" s="8" t="str">
        <f aca="false">IFERROR(INDEX(Register!$F$2:$F$81,MATCH($B12,Register!$A$2:$A$81,0)),"")</f>
        <v>$500K-$5M per project; up to 10 startups through 2027 (DCII); core tracks case-by-case</v>
      </c>
      <c r="G12" s="7" t="str">
        <f aca="false">IFERROR(INDEX(Register!$J$2:$J$81,MATCH($B12,Register!$A$2:$A$81,0)),"")</f>
        <v>ACTIVE</v>
      </c>
      <c r="H12" s="8" t="str">
        <f aca="false">IFERROR(INDEX(Register!$K$2:$K$81,MATCH($B12,Register!$A$2:$A$81,0)),"")</f>
        <v>Rolling through 2027</v>
      </c>
      <c r="I12" s="9" t="n">
        <f aca="false">IFERROR(INDEX(Register!$L$2:$L$81,MATCH($B12,Register!$A$2:$A$81,0)),"")</f>
        <v>5</v>
      </c>
      <c r="J12" s="10" t="s">
        <v>690</v>
      </c>
      <c r="K12" s="6" t="str">
        <f aca="false">IFERROR(INDEX(Register!$N$2:$N$81,MATCH($B12,Register!$A$2:$A$81,0)),"")</f>
        <v>https://elementalimpact.com/data-center-innovation-initiative/</v>
      </c>
    </row>
    <row r="13" customFormat="false" ht="60" hidden="false" customHeight="true" outlineLevel="0" collapsed="false">
      <c r="A13" s="7" t="n">
        <v>12</v>
      </c>
      <c r="B13" s="7" t="str">
        <f aca="false">Register!A4</f>
        <v>G-003</v>
      </c>
      <c r="C13" s="8" t="str">
        <f aca="false">IFERROR(INDEX(Register!$B$2:$B$81,MATCH($B13,Register!$A$2:$A$81,0)),"")</f>
        <v>Emerging Contaminants in Small or Disadvantaged Communities (EC-SDC) grants</v>
      </c>
      <c r="D13" s="7" t="str">
        <f aca="false">IFERROR(INDEX(Register!$C$2:$C$81,MATCH($B13,Register!$A$2:$A$81,0)),"")</f>
        <v>Federal</v>
      </c>
      <c r="E13" s="8" t="str">
        <f aca="false">IFERROR(INDEX(Register!$D$2:$D$81,MATCH($B13,Register!$A$2:$A$81,0)),"")</f>
        <v>EPA -&gt; states/territories</v>
      </c>
      <c r="F13" s="8" t="str">
        <f aca="false">IFERROR(INDEX(Register!$F$2:$F$81,MATCH($B13,Register!$A$2:$A$81,0)),"")</f>
        <v>$5B FY2022-26 total; final $1B announced May 2026</v>
      </c>
      <c r="G13" s="7" t="str">
        <f aca="false">IFERROR(INDEX(Register!$J$2:$J$81,MATCH($B13,Register!$A$2:$A$81,0)),"")</f>
        <v>ACTIVE</v>
      </c>
      <c r="H13" s="8" t="str">
        <f aca="false">IFERROR(INDEX(Register!$K$2:$K$81,MATCH($B13,Register!$A$2:$A$81,0)),"")</f>
        <v>State-driven; final BIL allotment year 2026</v>
      </c>
      <c r="I13" s="9" t="n">
        <f aca="false">IFERROR(INDEX(Register!$L$2:$L$81,MATCH($B13,Register!$A$2:$A$81,0)),"")</f>
        <v>4</v>
      </c>
      <c r="J13" s="10" t="s">
        <v>691</v>
      </c>
      <c r="K13" s="6" t="str">
        <f aca="false">IFERROR(INDEX(Register!$N$2:$N$81,MATCH($B13,Register!$A$2:$A$81,0)),"")</f>
        <v>https://www.epa.gov/dwcapacity</v>
      </c>
    </row>
    <row r="14" customFormat="false" ht="60" hidden="false" customHeight="true" outlineLevel="0" collapsed="false">
      <c r="A14" s="7" t="n">
        <v>13</v>
      </c>
      <c r="B14" s="7" t="str">
        <f aca="false">Register!A5</f>
        <v>G-004</v>
      </c>
      <c r="C14" s="8" t="str">
        <f aca="false">IFERROR(INDEX(Register!$B$2:$B$81,MATCH($B14,Register!$A$2:$A$81,0)),"")</f>
        <v>WIFIA (Water Infrastructure Finance and Innovation Act) + SWIFIA</v>
      </c>
      <c r="D14" s="7" t="str">
        <f aca="false">IFERROR(INDEX(Register!$C$2:$C$81,MATCH($B14,Register!$A$2:$A$81,0)),"")</f>
        <v>Federal</v>
      </c>
      <c r="E14" s="8" t="str">
        <f aca="false">IFERROR(INDEX(Register!$D$2:$D$81,MATCH($B14,Register!$A$2:$A$81,0)),"")</f>
        <v>EPA</v>
      </c>
      <c r="F14" s="8" t="str">
        <f aca="false">IFERROR(INDEX(Register!$F$2:$F$81,MATCH($B14,Register!$A$2:$A$81,0)),"")</f>
        <v>Loans up to 49% of project costs; $20M min project ($5M small communities); ~$11B credit capacity available</v>
      </c>
      <c r="G14" s="7" t="str">
        <f aca="false">IFERROR(INDEX(Register!$J$2:$J$81,MATCH($B14,Register!$A$2:$A$81,0)),"")</f>
        <v>ACTIVE</v>
      </c>
      <c r="H14" s="8" t="str">
        <f aca="false">IFERROR(INDEX(Register!$K$2:$K$81,MATCH($B14,Register!$A$2:$A$81,0)),"")</f>
        <v>Rolling Letters of Interest, year-round</v>
      </c>
      <c r="I14" s="9" t="n">
        <f aca="false">IFERROR(INDEX(Register!$L$2:$L$81,MATCH($B14,Register!$A$2:$A$81,0)),"")</f>
        <v>5</v>
      </c>
      <c r="J14" s="10" t="s">
        <v>692</v>
      </c>
      <c r="K14" s="6" t="str">
        <f aca="false">IFERROR(INDEX(Register!$N$2:$N$81,MATCH($B14,Register!$A$2:$A$81,0)),"")</f>
        <v>https://www.epa.gov/wifia</v>
      </c>
    </row>
    <row r="15" customFormat="false" ht="60" hidden="false" customHeight="true" outlineLevel="0" collapsed="false">
      <c r="A15" s="7" t="n">
        <v>14</v>
      </c>
      <c r="B15" s="7" t="str">
        <f aca="false">Register!A49</f>
        <v>G-048</v>
      </c>
      <c r="C15" s="8" t="str">
        <f aca="false">IFERROR(INDEX(Register!$B$2:$B$81,MATCH($B15,Register!$A$2:$A$81,0)),"")</f>
        <v>FL CWSRF + BIL emerging-contaminants grants (Orlando/374Water template)</v>
      </c>
      <c r="D15" s="7" t="str">
        <f aca="false">IFERROR(INDEX(Register!$C$2:$C$81,MATCH($B15,Register!$A$2:$A$81,0)),"")</f>
        <v>State</v>
      </c>
      <c r="E15" s="8" t="str">
        <f aca="false">IFERROR(INDEX(Register!$D$2:$D$81,MATCH($B15,Register!$A$2:$A$81,0)),"")</f>
        <v>Florida DEP</v>
      </c>
      <c r="F15" s="8" t="str">
        <f aca="false">IFERROR(INDEX(Register!$F$2:$F$81,MATCH($B15,Register!$A$2:$A$81,0)),"")</f>
        <v>~$800K demo precedent; full-scale follow-ons $3M-$5M</v>
      </c>
      <c r="G15" s="7" t="str">
        <f aca="false">IFERROR(INDEX(Register!$J$2:$J$81,MATCH($B15,Register!$A$2:$A$81,0)),"")</f>
        <v>ACTIVE</v>
      </c>
      <c r="H15" s="8" t="str">
        <f aca="false">IFERROR(INDEX(Register!$K$2:$K$81,MATCH($B15,Register!$A$2:$A$81,0)),"")</f>
        <v>Rolling/annual via FL DEP</v>
      </c>
      <c r="I15" s="9" t="n">
        <f aca="false">IFERROR(INDEX(Register!$L$2:$L$81,MATCH($B15,Register!$A$2:$A$81,0)),"")</f>
        <v>5</v>
      </c>
      <c r="J15" s="10" t="s">
        <v>693</v>
      </c>
      <c r="K15" s="6" t="str">
        <f aca="false">IFERROR(INDEX(Register!$N$2:$N$81,MATCH($B15,Register!$A$2:$A$81,0)),"")</f>
        <v>https://floridadep.gov/wra</v>
      </c>
    </row>
    <row r="16" customFormat="false" ht="60" hidden="false" customHeight="true" outlineLevel="0" collapsed="false">
      <c r="A16" s="7" t="n">
        <v>15</v>
      </c>
      <c r="B16" s="7" t="str">
        <f aca="false">Register!A31</f>
        <v>G-030</v>
      </c>
      <c r="C16" s="8" t="str">
        <f aca="false">IFERROR(INDEX(Register!$B$2:$B$81,MATCH($B16,Register!$A$2:$A$81,0)),"")</f>
        <v>DoW SBIR/STTR FY27 releases (all components via DSIP; incl. Army Applied SBIR)</v>
      </c>
      <c r="D16" s="7" t="str">
        <f aca="false">IFERROR(INDEX(Register!$C$2:$C$81,MATCH($B16,Register!$A$2:$A$81,0)),"")</f>
        <v>Federal</v>
      </c>
      <c r="E16" s="8" t="str">
        <f aca="false">IFERROR(INDEX(Register!$D$2:$D$81,MATCH($B16,Register!$A$2:$A$81,0)),"")</f>
        <v>DoW (defensesolutions.gov) / Army Futures Command</v>
      </c>
      <c r="F16" s="8" t="str">
        <f aca="false">IFERROR(INDEX(Register!$F$2:$F$81,MATCH($B16,Register!$A$2:$A$81,0)),"")</f>
        <v>Phase I ~$250K (Navy up to $315K); Phase II $1.7M-$2.0M; Phase III uncapped (non-SBIR funds)</v>
      </c>
      <c r="G16" s="7" t="str">
        <f aca="false">IFERROR(INDEX(Register!$J$2:$J$81,MATCH($B16,Register!$A$2:$A$81,0)),"")</f>
        <v>ACTIVE</v>
      </c>
      <c r="H16" s="8" t="str">
        <f aca="false">IFERROR(INDEX(Register!$K$2:$K$81,MATCH($B16,Register!$A$2:$A$81,0)),"")</f>
        <v>FY27 Release 1 pre-release expected ~Oct 2026; quarterly closes (FY26 R4 closed Aug 19 2026); Army runs 3 windows/FY</v>
      </c>
      <c r="I16" s="9" t="n">
        <f aca="false">IFERROR(INDEX(Register!$L$2:$L$81,MATCH($B16,Register!$A$2:$A$81,0)),"")</f>
        <v>4</v>
      </c>
      <c r="J16" s="10" t="s">
        <v>694</v>
      </c>
      <c r="K16" s="6" t="str">
        <f aca="false">IFERROR(INDEX(Register!$N$2:$N$81,MATCH($B16,Register!$A$2:$A$81,0)),"")</f>
        <v>https://www.defensesolutions.gov/</v>
      </c>
    </row>
  </sheetData>
  <conditionalFormatting sqref="G2:G16">
    <cfRule type="cellIs" priority="2" operator="equal" aboveAverage="0" equalAverage="0" bottom="0" percent="0" rank="0" text="" dxfId="22">
      <formula>"ACTIVE"</formula>
    </cfRule>
    <cfRule type="cellIs" priority="3" operator="equal" aboveAverage="0" equalAverage="0" bottom="0" percent="0" rank="0" text="" dxfId="23">
      <formula>"OPEN-DEADLINE"</formula>
    </cfRule>
    <cfRule type="cellIs" priority="4" operator="equal" aboveAverage="0" equalAverage="0" bottom="0" percent="0" rank="0" text="" dxfId="24">
      <formula>"PAUSED"</formula>
    </cfRule>
    <cfRule type="cellIs" priority="5" operator="equal" aboveAverage="0" equalAverage="0" bottom="0" percent="0" rank="0" text="" dxfId="25">
      <formula>"WATCH"</formula>
    </cfRule>
    <cfRule type="cellIs" priority="6" operator="equal" aboveAverage="0" equalAverage="0" bottom="0" percent="0" rank="0" text="" dxfId="26">
      <formula>"DEAD"</formula>
    </cfRule>
  </conditionalFormatting>
  <conditionalFormatting sqref="I2:I16">
    <cfRule type="cellIs" priority="7" operator="equal" aboveAverage="0" equalAverage="0" bottom="0" percent="0" rank="0" text="" dxfId="27">
      <formula>5</formula>
    </cfRule>
    <cfRule type="cellIs" priority="8" operator="equal" aboveAverage="0" equalAverage="0" bottom="0" percent="0" rank="0" text="" dxfId="28">
      <formula>4</formula>
    </cfRule>
    <cfRule type="cellIs" priority="9" operator="equal" aboveAverage="0" equalAverage="0" bottom="0" percent="0" rank="0" text="" dxfId="29">
      <formula>3</formula>
    </cfRule>
    <cfRule type="cellIs" priority="10" operator="equal" aboveAverage="0" equalAverage="0" bottom="0" percent="0" rank="0" text="" dxfId="30">
      <formula>2</formula>
    </cfRule>
    <cfRule type="cellIs" priority="11" operator="equal" aboveAverage="0" equalAverage="0" bottom="0" percent="0" rank="0" text="" dxfId="31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11" t="s">
        <v>695</v>
      </c>
    </row>
    <row r="2" customFormat="false" ht="15" hidden="false" customHeight="false" outlineLevel="0" collapsed="false">
      <c r="A2" s="12" t="s">
        <v>696</v>
      </c>
    </row>
    <row r="4" customFormat="false" ht="15" hidden="false" customHeight="false" outlineLevel="0" collapsed="false">
      <c r="A4" s="13" t="s">
        <v>697</v>
      </c>
    </row>
    <row r="5" customFormat="false" ht="15" hidden="false" customHeight="false" outlineLevel="0" collapsed="false">
      <c r="A5" s="14" t="s">
        <v>698</v>
      </c>
      <c r="B5" s="14" t="s">
        <v>699</v>
      </c>
    </row>
    <row r="6" customFormat="false" ht="15" hidden="false" customHeight="false" outlineLevel="0" collapsed="false">
      <c r="A6" s="15" t="s">
        <v>16</v>
      </c>
      <c r="B6" s="16" t="n">
        <f aca="false">COUNTIF(Register!$C$2:$C$81,"Federal")</f>
        <v>38</v>
      </c>
    </row>
    <row r="7" customFormat="false" ht="15" hidden="false" customHeight="false" outlineLevel="0" collapsed="false">
      <c r="A7" s="15" t="s">
        <v>325</v>
      </c>
      <c r="B7" s="16" t="n">
        <f aca="false">COUNTIF(Register!$C$2:$C$81,"State")</f>
        <v>23</v>
      </c>
    </row>
    <row r="8" customFormat="false" ht="15" hidden="false" customHeight="false" outlineLevel="0" collapsed="false">
      <c r="A8" s="15" t="s">
        <v>485</v>
      </c>
      <c r="B8" s="16" t="n">
        <f aca="false">COUNTIF(Register!$C$2:$C$81,"Municipal-utility")</f>
        <v>3</v>
      </c>
    </row>
    <row r="9" customFormat="false" ht="15" hidden="false" customHeight="false" outlineLevel="0" collapsed="false">
      <c r="A9" s="15" t="s">
        <v>518</v>
      </c>
      <c r="B9" s="16" t="n">
        <f aca="false">COUNTIF(Register!$C$2:$C$81,"Private-foundation")</f>
        <v>12</v>
      </c>
    </row>
    <row r="10" customFormat="false" ht="15" hidden="false" customHeight="false" outlineLevel="0" collapsed="false">
      <c r="A10" s="15" t="s">
        <v>586</v>
      </c>
      <c r="B10" s="16" t="n">
        <f aca="false">COUNTIF(Register!$C$2:$C$81,"Corporate")</f>
        <v>4</v>
      </c>
    </row>
    <row r="11" customFormat="false" ht="15" hidden="false" customHeight="false" outlineLevel="0" collapsed="false">
      <c r="A11" s="17" t="s">
        <v>700</v>
      </c>
      <c r="B11" s="18" t="n">
        <f aca="false">SUM(B6:B10)</f>
        <v>80</v>
      </c>
    </row>
    <row r="13" customFormat="false" ht="15" hidden="false" customHeight="false" outlineLevel="0" collapsed="false">
      <c r="A13" s="13" t="s">
        <v>701</v>
      </c>
    </row>
    <row r="14" customFormat="false" ht="15" hidden="false" customHeight="false" outlineLevel="0" collapsed="false">
      <c r="A14" s="14" t="s">
        <v>698</v>
      </c>
      <c r="B14" s="14" t="s">
        <v>699</v>
      </c>
    </row>
    <row r="15" customFormat="false" ht="15" hidden="false" customHeight="false" outlineLevel="0" collapsed="false">
      <c r="A15" s="15" t="s">
        <v>23</v>
      </c>
      <c r="B15" s="16" t="n">
        <f aca="false">COUNTIF(Register!$J$2:$J$81,"ACTIVE")</f>
        <v>57</v>
      </c>
    </row>
    <row r="16" customFormat="false" ht="15" hidden="false" customHeight="false" outlineLevel="0" collapsed="false">
      <c r="A16" s="15" t="s">
        <v>90</v>
      </c>
      <c r="B16" s="16" t="n">
        <f aca="false">COUNTIF(Register!$J$2:$J$81,"OPEN-DEADLINE")</f>
        <v>2</v>
      </c>
    </row>
    <row r="17" customFormat="false" ht="15" hidden="false" customHeight="false" outlineLevel="0" collapsed="false">
      <c r="A17" s="15" t="s">
        <v>191</v>
      </c>
      <c r="B17" s="16" t="n">
        <f aca="false">COUNTIF(Register!$J$2:$J$81,"PAUSED")</f>
        <v>1</v>
      </c>
    </row>
    <row r="18" customFormat="false" ht="15" hidden="false" customHeight="false" outlineLevel="0" collapsed="false">
      <c r="A18" s="15" t="s">
        <v>76</v>
      </c>
      <c r="B18" s="16" t="n">
        <f aca="false">COUNTIF(Register!$J$2:$J$81,"WATCH")</f>
        <v>17</v>
      </c>
    </row>
    <row r="19" customFormat="false" ht="15" hidden="false" customHeight="false" outlineLevel="0" collapsed="false">
      <c r="A19" s="15" t="s">
        <v>123</v>
      </c>
      <c r="B19" s="16" t="n">
        <f aca="false">COUNTIF(Register!$J$2:$J$81,"DEAD")</f>
        <v>3</v>
      </c>
    </row>
    <row r="20" customFormat="false" ht="15" hidden="false" customHeight="false" outlineLevel="0" collapsed="false">
      <c r="A20" s="17" t="s">
        <v>700</v>
      </c>
      <c r="B20" s="18" t="n">
        <f aca="false">SUM(B15:B19)</f>
        <v>80</v>
      </c>
    </row>
    <row r="22" customFormat="false" ht="15" hidden="false" customHeight="false" outlineLevel="0" collapsed="false">
      <c r="A22" s="13" t="s">
        <v>702</v>
      </c>
    </row>
    <row r="23" customFormat="false" ht="15" hidden="false" customHeight="false" outlineLevel="0" collapsed="false">
      <c r="A23" s="14" t="s">
        <v>698</v>
      </c>
      <c r="B23" s="14" t="s">
        <v>699</v>
      </c>
    </row>
    <row r="24" customFormat="false" ht="15" hidden="false" customHeight="false" outlineLevel="0" collapsed="false">
      <c r="A24" s="15" t="n">
        <v>5</v>
      </c>
      <c r="B24" s="16" t="n">
        <f aca="false">COUNTIF(Register!$L$2:$L$81,5)</f>
        <v>12</v>
      </c>
    </row>
    <row r="25" customFormat="false" ht="15" hidden="false" customHeight="false" outlineLevel="0" collapsed="false">
      <c r="A25" s="15" t="n">
        <v>4</v>
      </c>
      <c r="B25" s="16" t="n">
        <f aca="false">COUNTIF(Register!$L$2:$L$81,4)</f>
        <v>24</v>
      </c>
    </row>
    <row r="26" customFormat="false" ht="15" hidden="false" customHeight="false" outlineLevel="0" collapsed="false">
      <c r="A26" s="15" t="n">
        <v>3</v>
      </c>
      <c r="B26" s="16" t="n">
        <f aca="false">COUNTIF(Register!$L$2:$L$81,3)</f>
        <v>27</v>
      </c>
    </row>
    <row r="27" customFormat="false" ht="15" hidden="false" customHeight="false" outlineLevel="0" collapsed="false">
      <c r="A27" s="15" t="n">
        <v>2</v>
      </c>
      <c r="B27" s="16" t="n">
        <f aca="false">COUNTIF(Register!$L$2:$L$81,2)</f>
        <v>12</v>
      </c>
    </row>
    <row r="28" customFormat="false" ht="15" hidden="false" customHeight="false" outlineLevel="0" collapsed="false">
      <c r="A28" s="15" t="n">
        <v>1</v>
      </c>
      <c r="B28" s="16" t="n">
        <f aca="false">COUNTIF(Register!$L$2:$L$81,1)</f>
        <v>5</v>
      </c>
    </row>
    <row r="29" customFormat="false" ht="15" hidden="false" customHeight="false" outlineLevel="0" collapsed="false">
      <c r="A29" s="17" t="s">
        <v>700</v>
      </c>
      <c r="B29" s="18" t="n">
        <f aca="false">SUM(B24:B28)</f>
        <v>80</v>
      </c>
    </row>
    <row r="31" customFormat="false" ht="15" hidden="false" customHeight="false" outlineLevel="0" collapsed="false">
      <c r="A31" s="13" t="s">
        <v>6</v>
      </c>
    </row>
    <row r="32" customFormat="false" ht="15" hidden="false" customHeight="false" outlineLevel="0" collapsed="false">
      <c r="A32" s="14" t="s">
        <v>698</v>
      </c>
      <c r="B32" s="14" t="s">
        <v>699</v>
      </c>
    </row>
    <row r="33" customFormat="false" ht="15" hidden="false" customHeight="false" outlineLevel="0" collapsed="false">
      <c r="A33" s="15" t="s">
        <v>49</v>
      </c>
      <c r="B33" s="16" t="n">
        <f aca="false">COUNTIF(Register!$G$2:$G$81,"Yes")</f>
        <v>41</v>
      </c>
    </row>
    <row r="34" customFormat="false" ht="15" hidden="false" customHeight="false" outlineLevel="0" collapsed="false">
      <c r="A34" s="15" t="s">
        <v>121</v>
      </c>
      <c r="B34" s="16" t="n">
        <f aca="false">COUNTIF(Register!$G$2:$G$81,"No")</f>
        <v>3</v>
      </c>
    </row>
    <row r="35" customFormat="false" ht="15" hidden="false" customHeight="false" outlineLevel="0" collapsed="false">
      <c r="A35" s="15" t="s">
        <v>20</v>
      </c>
      <c r="B35" s="16" t="n">
        <f aca="false">COUNTIF(Register!$G$2:$G$81,"No—via utility partner")</f>
        <v>25</v>
      </c>
    </row>
    <row r="36" customFormat="false" ht="15" hidden="false" customHeight="false" outlineLevel="0" collapsed="false">
      <c r="A36" s="15" t="s">
        <v>113</v>
      </c>
      <c r="B36" s="16" t="n">
        <f aca="false">COUNTIF(Register!$G$2:$G$81,"No—via other partner")</f>
        <v>11</v>
      </c>
    </row>
    <row r="37" customFormat="false" ht="15" hidden="false" customHeight="false" outlineLevel="0" collapsed="false">
      <c r="A37" s="17" t="s">
        <v>700</v>
      </c>
      <c r="B37" s="18" t="n">
        <f aca="false">SUM(B33:B36)</f>
        <v>80</v>
      </c>
    </row>
    <row r="39" customFormat="false" ht="15" hidden="false" customHeight="false" outlineLevel="0" collapsed="false">
      <c r="A39" s="13" t="s">
        <v>703</v>
      </c>
    </row>
    <row r="40" customFormat="false" ht="15" hidden="false" customHeight="false" outlineLevel="0" collapsed="false">
      <c r="A40" s="14" t="s">
        <v>704</v>
      </c>
      <c r="B40" s="14" t="s">
        <v>699</v>
      </c>
    </row>
    <row r="41" customFormat="false" ht="15" hidden="false" customHeight="false" outlineLevel="0" collapsed="false">
      <c r="A41" s="15" t="s">
        <v>705</v>
      </c>
      <c r="B41" s="16" t="n">
        <f aca="false">COUNTIFS(Register!$J$2:$J$81,"ACTIVE",Register!$L$2:$L$81,"&gt;=4")+COUNTIFS(Register!$J$2:$J$81,"OPEN-DEADLINE",Register!$L$2:$L$81,"&gt;=4")</f>
        <v>33</v>
      </c>
    </row>
    <row r="42" customFormat="false" ht="15" hidden="false" customHeight="false" outlineLevel="0" collapsed="false">
      <c r="A42" s="15" t="s">
        <v>706</v>
      </c>
      <c r="B42" s="16" t="n">
        <f aca="false">COUNTIFS(Register!$G$2:$G$81,"Yes",Register!$L$2:$L$81,"&gt;=4")</f>
        <v>22</v>
      </c>
    </row>
    <row r="43" customFormat="false" ht="15" hidden="false" customHeight="false" outlineLevel="0" collapsed="false">
      <c r="A43" s="15" t="s">
        <v>707</v>
      </c>
      <c r="B43" s="16" t="n">
        <f aca="false">COUNTIF(Register!$J$2:$J$81,"DEAD")</f>
        <v>3</v>
      </c>
    </row>
    <row r="46" customFormat="false" ht="15" hidden="false" customHeight="false" outlineLevel="0" collapsed="false">
      <c r="A46" s="13" t="s">
        <v>708</v>
      </c>
    </row>
    <row r="47" customFormat="false" ht="15" hidden="false" customHeight="false" outlineLevel="0" collapsed="false">
      <c r="A47" s="14" t="s">
        <v>709</v>
      </c>
      <c r="B47" s="14" t="s">
        <v>710</v>
      </c>
      <c r="C47" s="14" t="s">
        <v>711</v>
      </c>
      <c r="D47" s="14" t="s">
        <v>712</v>
      </c>
    </row>
    <row r="48" customFormat="false" ht="15" hidden="false" customHeight="false" outlineLevel="0" collapsed="false">
      <c r="A48" s="15" t="s">
        <v>713</v>
      </c>
      <c r="B48" s="19" t="n">
        <v>4000000000</v>
      </c>
      <c r="C48" s="15" t="s">
        <v>714</v>
      </c>
      <c r="D48" s="20" t="s">
        <v>715</v>
      </c>
    </row>
    <row r="49" customFormat="false" ht="15" hidden="false" customHeight="false" outlineLevel="0" collapsed="false">
      <c r="A49" s="15" t="s">
        <v>716</v>
      </c>
      <c r="B49" s="19" t="n">
        <v>1000000000</v>
      </c>
      <c r="C49" s="15" t="s">
        <v>717</v>
      </c>
      <c r="D49" s="20" t="s">
        <v>718</v>
      </c>
    </row>
    <row r="50" customFormat="false" ht="15" hidden="false" customHeight="false" outlineLevel="0" collapsed="false">
      <c r="A50" s="15" t="s">
        <v>719</v>
      </c>
      <c r="B50" s="19" t="n">
        <v>5000000000</v>
      </c>
      <c r="C50" s="15" t="s">
        <v>720</v>
      </c>
      <c r="D50" s="20" t="s">
        <v>721</v>
      </c>
    </row>
    <row r="51" customFormat="false" ht="15" hidden="false" customHeight="false" outlineLevel="0" collapsed="false">
      <c r="A51" s="15" t="s">
        <v>722</v>
      </c>
      <c r="B51" s="19" t="n">
        <v>11000000000</v>
      </c>
      <c r="C51" s="15" t="s">
        <v>723</v>
      </c>
      <c r="D51" s="20" t="s">
        <v>721</v>
      </c>
    </row>
    <row r="52" customFormat="false" ht="15" hidden="false" customHeight="false" outlineLevel="0" collapsed="false">
      <c r="A52" s="15" t="s">
        <v>724</v>
      </c>
      <c r="B52" s="19" t="n">
        <v>40000000</v>
      </c>
      <c r="C52" s="15" t="s">
        <v>725</v>
      </c>
      <c r="D52" s="20" t="s">
        <v>721</v>
      </c>
    </row>
    <row r="53" customFormat="false" ht="15" hidden="false" customHeight="false" outlineLevel="0" collapsed="false">
      <c r="A53" s="15" t="s">
        <v>726</v>
      </c>
      <c r="B53" s="19" t="n">
        <v>5700000</v>
      </c>
      <c r="C53" s="15" t="s">
        <v>727</v>
      </c>
      <c r="D53" s="20" t="s">
        <v>721</v>
      </c>
    </row>
    <row r="54" customFormat="false" ht="15" hidden="false" customHeight="false" outlineLevel="0" collapsed="false">
      <c r="A54" s="15" t="s">
        <v>728</v>
      </c>
      <c r="B54" s="19" t="n">
        <v>60800000</v>
      </c>
      <c r="C54" s="15" t="s">
        <v>729</v>
      </c>
      <c r="D54" s="20" t="s">
        <v>730</v>
      </c>
    </row>
    <row r="55" customFormat="false" ht="15" hidden="false" customHeight="false" outlineLevel="0" collapsed="false">
      <c r="A55" s="15" t="s">
        <v>731</v>
      </c>
      <c r="B55" s="19" t="n">
        <v>125100000</v>
      </c>
      <c r="C55" s="15" t="s">
        <v>732</v>
      </c>
      <c r="D55" s="20" t="s">
        <v>730</v>
      </c>
    </row>
    <row r="56" customFormat="false" ht="15" hidden="false" customHeight="false" outlineLevel="0" collapsed="false">
      <c r="A56" s="15" t="s">
        <v>733</v>
      </c>
      <c r="B56" s="19" t="n">
        <v>1000000000</v>
      </c>
      <c r="C56" s="15" t="s">
        <v>734</v>
      </c>
      <c r="D56" s="20" t="s">
        <v>730</v>
      </c>
    </row>
    <row r="57" customFormat="false" ht="15" hidden="false" customHeight="false" outlineLevel="0" collapsed="false">
      <c r="A57" s="15" t="s">
        <v>735</v>
      </c>
      <c r="B57" s="19" t="n">
        <v>795000000</v>
      </c>
      <c r="C57" s="15" t="s">
        <v>736</v>
      </c>
      <c r="D57" s="20" t="s">
        <v>737</v>
      </c>
    </row>
    <row r="58" customFormat="false" ht="15" hidden="false" customHeight="false" outlineLevel="0" collapsed="false">
      <c r="A58" s="15" t="s">
        <v>738</v>
      </c>
      <c r="B58" s="19" t="n">
        <v>10500000000</v>
      </c>
      <c r="C58" s="15" t="s">
        <v>739</v>
      </c>
      <c r="D58" s="20" t="s">
        <v>718</v>
      </c>
    </row>
    <row r="59" customFormat="false" ht="15" hidden="false" customHeight="false" outlineLevel="0" collapsed="false">
      <c r="A59" s="15" t="s">
        <v>740</v>
      </c>
      <c r="B59" s="19" t="n">
        <v>2251500000</v>
      </c>
      <c r="C59" s="15" t="s">
        <v>741</v>
      </c>
      <c r="D59" s="20" t="s">
        <v>718</v>
      </c>
    </row>
    <row r="60" customFormat="false" ht="15" hidden="false" customHeight="false" outlineLevel="0" collapsed="false">
      <c r="A60" s="15" t="s">
        <v>742</v>
      </c>
      <c r="B60" s="19" t="n">
        <v>130000000</v>
      </c>
      <c r="C60" s="15" t="s">
        <v>743</v>
      </c>
      <c r="D60" s="20" t="s">
        <v>718</v>
      </c>
    </row>
    <row r="61" customFormat="false" ht="15" hidden="false" customHeight="false" outlineLevel="0" collapsed="false">
      <c r="A61" s="15" t="s">
        <v>744</v>
      </c>
      <c r="B61" s="19" t="n">
        <v>90000000</v>
      </c>
      <c r="C61" s="15" t="s">
        <v>745</v>
      </c>
      <c r="D61" s="20" t="s">
        <v>718</v>
      </c>
    </row>
    <row r="62" customFormat="false" ht="15" hidden="false" customHeight="false" outlineLevel="0" collapsed="false">
      <c r="A62" s="15" t="s">
        <v>746</v>
      </c>
      <c r="B62" s="19" t="n">
        <v>200000000</v>
      </c>
      <c r="C62" s="15" t="s">
        <v>747</v>
      </c>
      <c r="D62" s="20" t="s">
        <v>748</v>
      </c>
    </row>
    <row r="63" customFormat="false" ht="15" hidden="false" customHeight="false" outlineLevel="0" collapsed="false">
      <c r="A63" s="15" t="s">
        <v>749</v>
      </c>
      <c r="B63" s="19" t="n">
        <v>16000000</v>
      </c>
      <c r="C63" s="15" t="s">
        <v>750</v>
      </c>
      <c r="D63" s="20" t="s">
        <v>748</v>
      </c>
    </row>
    <row r="64" customFormat="false" ht="15" hidden="false" customHeight="false" outlineLevel="0" collapsed="false">
      <c r="A64" s="15" t="s">
        <v>751</v>
      </c>
      <c r="B64" s="19" t="n">
        <v>376000000</v>
      </c>
      <c r="C64" s="15" t="s">
        <v>752</v>
      </c>
      <c r="D64" s="20" t="s">
        <v>748</v>
      </c>
    </row>
    <row r="65" customFormat="false" ht="15" hidden="false" customHeight="false" outlineLevel="0" collapsed="false">
      <c r="A65" s="15" t="s">
        <v>753</v>
      </c>
      <c r="B65" s="19" t="n">
        <v>250000000</v>
      </c>
      <c r="C65" s="15" t="s">
        <v>754</v>
      </c>
      <c r="D65" s="20" t="s">
        <v>748</v>
      </c>
    </row>
    <row r="66" customFormat="false" ht="15" hidden="false" customHeight="false" outlineLevel="0" collapsed="false">
      <c r="A66" s="15" t="s">
        <v>755</v>
      </c>
      <c r="B66" s="19" t="n">
        <v>386000000</v>
      </c>
      <c r="C66" s="15" t="s">
        <v>756</v>
      </c>
      <c r="D66" s="20" t="s">
        <v>748</v>
      </c>
    </row>
    <row r="67" customFormat="false" ht="15" hidden="false" customHeight="false" outlineLevel="0" collapsed="false">
      <c r="A67" s="15" t="s">
        <v>757</v>
      </c>
      <c r="B67" s="19" t="n">
        <v>50000000</v>
      </c>
      <c r="C67" s="15" t="s">
        <v>758</v>
      </c>
      <c r="D67" s="20" t="s">
        <v>759</v>
      </c>
    </row>
    <row r="68" customFormat="false" ht="15" hidden="false" customHeight="false" outlineLevel="0" collapsed="false">
      <c r="A68" s="15" t="s">
        <v>760</v>
      </c>
      <c r="B68" s="19" t="n">
        <v>52000000</v>
      </c>
      <c r="C68" s="15" t="s">
        <v>761</v>
      </c>
      <c r="D68" s="20" t="s">
        <v>759</v>
      </c>
    </row>
    <row r="69" customFormat="false" ht="15" hidden="false" customHeight="false" outlineLevel="0" collapsed="false">
      <c r="A69" s="17" t="s">
        <v>762</v>
      </c>
      <c r="B69" s="21" t="n">
        <f aca="false">SUM(B48:B68)</f>
        <v>37328100000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1" t="s">
        <v>763</v>
      </c>
    </row>
    <row r="3" customFormat="false" ht="15" hidden="false" customHeight="false" outlineLevel="0" collapsed="false">
      <c r="A3" s="22" t="s">
        <v>764</v>
      </c>
      <c r="B3" s="22" t="s">
        <v>765</v>
      </c>
      <c r="C3" s="22" t="s">
        <v>766</v>
      </c>
    </row>
    <row r="4" customFormat="false" ht="15" hidden="false" customHeight="false" outlineLevel="0" collapsed="false">
      <c r="A4" s="23" t="s">
        <v>2</v>
      </c>
      <c r="B4" s="23" t="s">
        <v>16</v>
      </c>
      <c r="C4" s="23" t="s">
        <v>767</v>
      </c>
    </row>
    <row r="5" customFormat="false" ht="15" hidden="false" customHeight="false" outlineLevel="0" collapsed="false">
      <c r="A5" s="23" t="s">
        <v>2</v>
      </c>
      <c r="B5" s="23" t="s">
        <v>325</v>
      </c>
      <c r="C5" s="23" t="s">
        <v>768</v>
      </c>
    </row>
    <row r="6" customFormat="false" ht="15" hidden="false" customHeight="false" outlineLevel="0" collapsed="false">
      <c r="A6" s="23" t="s">
        <v>2</v>
      </c>
      <c r="B6" s="23" t="s">
        <v>485</v>
      </c>
      <c r="C6" s="23" t="s">
        <v>769</v>
      </c>
    </row>
    <row r="7" customFormat="false" ht="15" hidden="false" customHeight="false" outlineLevel="0" collapsed="false">
      <c r="A7" s="23" t="s">
        <v>2</v>
      </c>
      <c r="B7" s="23" t="s">
        <v>518</v>
      </c>
      <c r="C7" s="23" t="s">
        <v>770</v>
      </c>
    </row>
    <row r="8" customFormat="false" ht="15" hidden="false" customHeight="false" outlineLevel="0" collapsed="false">
      <c r="A8" s="23" t="s">
        <v>2</v>
      </c>
      <c r="B8" s="23" t="s">
        <v>586</v>
      </c>
      <c r="C8" s="23" t="s">
        <v>771</v>
      </c>
    </row>
    <row r="9" customFormat="false" ht="15" hidden="false" customHeight="false" outlineLevel="0" collapsed="false">
      <c r="A9" s="23" t="s">
        <v>4</v>
      </c>
      <c r="B9" s="23" t="s">
        <v>57</v>
      </c>
      <c r="C9" s="23" t="s">
        <v>772</v>
      </c>
    </row>
    <row r="10" customFormat="false" ht="15" hidden="false" customHeight="false" outlineLevel="0" collapsed="false">
      <c r="A10" s="23" t="s">
        <v>4</v>
      </c>
      <c r="B10" s="23" t="s">
        <v>18</v>
      </c>
      <c r="C10" s="23" t="s">
        <v>773</v>
      </c>
    </row>
    <row r="11" customFormat="false" ht="15" hidden="false" customHeight="false" outlineLevel="0" collapsed="false">
      <c r="A11" s="23" t="s">
        <v>4</v>
      </c>
      <c r="B11" s="23" t="s">
        <v>47</v>
      </c>
      <c r="C11" s="23" t="s">
        <v>774</v>
      </c>
    </row>
    <row r="12" customFormat="false" ht="15" hidden="false" customHeight="false" outlineLevel="0" collapsed="false">
      <c r="A12" s="23" t="s">
        <v>4</v>
      </c>
      <c r="B12" s="23" t="s">
        <v>180</v>
      </c>
      <c r="C12" s="23" t="s">
        <v>775</v>
      </c>
    </row>
    <row r="13" customFormat="false" ht="15" hidden="false" customHeight="false" outlineLevel="0" collapsed="false">
      <c r="A13" s="23" t="s">
        <v>4</v>
      </c>
      <c r="B13" s="23" t="s">
        <v>631</v>
      </c>
      <c r="C13" s="23" t="s">
        <v>776</v>
      </c>
    </row>
    <row r="14" customFormat="false" ht="15" hidden="false" customHeight="false" outlineLevel="0" collapsed="false">
      <c r="A14" s="23" t="s">
        <v>4</v>
      </c>
      <c r="B14" s="23" t="s">
        <v>560</v>
      </c>
      <c r="C14" s="23" t="s">
        <v>777</v>
      </c>
    </row>
    <row r="15" customFormat="false" ht="15" hidden="false" customHeight="false" outlineLevel="0" collapsed="false">
      <c r="A15" s="23" t="s">
        <v>4</v>
      </c>
      <c r="B15" s="23" t="s">
        <v>570</v>
      </c>
      <c r="C15" s="23" t="s">
        <v>778</v>
      </c>
    </row>
    <row r="16" customFormat="false" ht="15" hidden="false" customHeight="false" outlineLevel="0" collapsed="false">
      <c r="A16" s="23" t="s">
        <v>4</v>
      </c>
      <c r="B16" s="23" t="s">
        <v>588</v>
      </c>
      <c r="C16" s="23" t="s">
        <v>779</v>
      </c>
    </row>
    <row r="17" customFormat="false" ht="15" hidden="false" customHeight="false" outlineLevel="0" collapsed="false">
      <c r="A17" s="23" t="s">
        <v>4</v>
      </c>
      <c r="B17" s="23" t="s">
        <v>445</v>
      </c>
      <c r="C17" s="23" t="s">
        <v>780</v>
      </c>
    </row>
    <row r="18" customFormat="false" ht="15" hidden="false" customHeight="false" outlineLevel="0" collapsed="false">
      <c r="A18" s="23" t="s">
        <v>9</v>
      </c>
      <c r="B18" s="23" t="s">
        <v>23</v>
      </c>
      <c r="C18" s="23" t="s">
        <v>781</v>
      </c>
    </row>
    <row r="19" customFormat="false" ht="15" hidden="false" customHeight="false" outlineLevel="0" collapsed="false">
      <c r="A19" s="23" t="s">
        <v>9</v>
      </c>
      <c r="B19" s="23" t="s">
        <v>90</v>
      </c>
      <c r="C19" s="23" t="s">
        <v>782</v>
      </c>
    </row>
    <row r="20" customFormat="false" ht="15" hidden="false" customHeight="false" outlineLevel="0" collapsed="false">
      <c r="A20" s="23" t="s">
        <v>9</v>
      </c>
      <c r="B20" s="23" t="s">
        <v>191</v>
      </c>
      <c r="C20" s="23" t="s">
        <v>783</v>
      </c>
    </row>
    <row r="21" customFormat="false" ht="15" hidden="false" customHeight="false" outlineLevel="0" collapsed="false">
      <c r="A21" s="23" t="s">
        <v>9</v>
      </c>
      <c r="B21" s="23" t="s">
        <v>76</v>
      </c>
      <c r="C21" s="23" t="s">
        <v>784</v>
      </c>
    </row>
    <row r="22" customFormat="false" ht="15" hidden="false" customHeight="false" outlineLevel="0" collapsed="false">
      <c r="A22" s="23" t="s">
        <v>9</v>
      </c>
      <c r="B22" s="23" t="s">
        <v>123</v>
      </c>
      <c r="C22" s="23" t="s">
        <v>785</v>
      </c>
    </row>
    <row r="23" customFormat="false" ht="15" hidden="false" customHeight="false" outlineLevel="0" collapsed="false">
      <c r="A23" s="23" t="s">
        <v>678</v>
      </c>
      <c r="B23" s="23" t="s">
        <v>786</v>
      </c>
      <c r="C23" s="23" t="s">
        <v>787</v>
      </c>
    </row>
    <row r="24" customFormat="false" ht="15" hidden="false" customHeight="false" outlineLevel="0" collapsed="false">
      <c r="A24" s="23" t="s">
        <v>678</v>
      </c>
      <c r="B24" s="23" t="s">
        <v>788</v>
      </c>
      <c r="C24" s="23" t="s">
        <v>789</v>
      </c>
    </row>
    <row r="25" customFormat="false" ht="15" hidden="false" customHeight="false" outlineLevel="0" collapsed="false">
      <c r="A25" s="23" t="s">
        <v>678</v>
      </c>
      <c r="B25" s="23" t="s">
        <v>790</v>
      </c>
      <c r="C25" s="23" t="s">
        <v>791</v>
      </c>
    </row>
    <row r="26" customFormat="false" ht="15" hidden="false" customHeight="false" outlineLevel="0" collapsed="false">
      <c r="A26" s="23" t="s">
        <v>678</v>
      </c>
      <c r="B26" s="23" t="s">
        <v>792</v>
      </c>
      <c r="C26" s="23" t="s">
        <v>793</v>
      </c>
    </row>
    <row r="27" customFormat="false" ht="15" hidden="false" customHeight="false" outlineLevel="0" collapsed="false">
      <c r="A27" s="23" t="s">
        <v>678</v>
      </c>
      <c r="B27" s="23" t="s">
        <v>794</v>
      </c>
      <c r="C27" s="23" t="s">
        <v>795</v>
      </c>
    </row>
    <row r="28" customFormat="false" ht="15" hidden="false" customHeight="false" outlineLevel="0" collapsed="false">
      <c r="A28" s="23" t="s">
        <v>6</v>
      </c>
      <c r="B28" s="23" t="s">
        <v>49</v>
      </c>
      <c r="C28" s="23" t="s">
        <v>796</v>
      </c>
    </row>
    <row r="29" customFormat="false" ht="15" hidden="false" customHeight="false" outlineLevel="0" collapsed="false">
      <c r="A29" s="23" t="s">
        <v>6</v>
      </c>
      <c r="B29" s="23" t="s">
        <v>20</v>
      </c>
      <c r="C29" s="23" t="s">
        <v>797</v>
      </c>
    </row>
    <row r="30" customFormat="false" ht="15" hidden="false" customHeight="false" outlineLevel="0" collapsed="false">
      <c r="A30" s="23" t="s">
        <v>6</v>
      </c>
      <c r="B30" s="23" t="s">
        <v>113</v>
      </c>
      <c r="C30" s="23" t="s">
        <v>798</v>
      </c>
    </row>
    <row r="31" customFormat="false" ht="15" hidden="false" customHeight="false" outlineLevel="0" collapsed="false">
      <c r="A31" s="23" t="s">
        <v>6</v>
      </c>
      <c r="B31" s="23" t="s">
        <v>121</v>
      </c>
      <c r="C31" s="23" t="s">
        <v>799</v>
      </c>
    </row>
    <row r="32" customFormat="false" ht="15" hidden="false" customHeight="false" outlineLevel="0" collapsed="false">
      <c r="A32" s="23" t="s">
        <v>800</v>
      </c>
      <c r="B32" s="23" t="s">
        <v>801</v>
      </c>
      <c r="C32" s="23" t="s">
        <v>802</v>
      </c>
    </row>
    <row r="33" customFormat="false" ht="15" hidden="false" customHeight="false" outlineLevel="0" collapsed="false">
      <c r="A33" s="23" t="s">
        <v>800</v>
      </c>
      <c r="B33" s="23" t="s">
        <v>803</v>
      </c>
      <c r="C33" s="23" t="s">
        <v>804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2026-09-02T00:17:03Z</dcterms:created>
  <dc:creator>openpyxl</dc:creator>
  <dc:description/>
  <dc:language>en-US</dc:language>
  <cp:lastModifiedBy/>
  <dcterms:modified xsi:type="dcterms:W3CDTF">2026-09-02T00:17:03Z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